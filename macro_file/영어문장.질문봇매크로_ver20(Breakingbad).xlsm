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120" yWindow="168" windowWidth="10752" windowHeight="7716" firstSheet="1" activeTab="6"/>
  </bookViews>
  <sheets>
    <sheet name="0_DB" sheetId="3" r:id="rId1"/>
    <sheet name="0_DB(M)" sheetId="7" r:id="rId2"/>
    <sheet name="1_situation.DB(M)" sheetId="9" r:id="rId3"/>
    <sheet name="2_voca.DB(M)" sheetId="10" r:id="rId4"/>
    <sheet name="3_무따기.DB(M) (2)" sheetId="12" r:id="rId5"/>
    <sheet name="4_BrBad.DB(M)" sheetId="13" r:id="rId6"/>
    <sheet name="5_Comm.DB(M)" sheetId="14" r:id="rId7"/>
    <sheet name="4_DB(M)" sheetId="11" r:id="rId8"/>
  </sheets>
  <functionGroups builtInGroupCount="17"/>
  <definedNames>
    <definedName name="_xlnm._FilterDatabase" localSheetId="2" hidden="1">'1_situation.DB(M)'!$A$4:$P$4</definedName>
    <definedName name="_xlnm._FilterDatabase" localSheetId="3" hidden="1">'2_voca.DB(M)'!$A$4:$P$4</definedName>
    <definedName name="_xlnm._FilterDatabase" localSheetId="4" hidden="1">'3_무따기.DB(M) (2)'!$A$4:$P$4</definedName>
    <definedName name="_xlnm._FilterDatabase" localSheetId="5" hidden="1">'4_BrBad.DB(M)'!$A$4:$P$4</definedName>
    <definedName name="_xlnm._FilterDatabase" localSheetId="6" hidden="1">'5_Comm.DB(M)'!$A$4:$P$4</definedName>
    <definedName name="_xlnm.Criteria" localSheetId="2">'1_situation.DB(M)'!#REF!</definedName>
    <definedName name="_xlnm.Criteria" localSheetId="3">'2_voca.DB(M)'!#REF!</definedName>
    <definedName name="_xlnm.Criteria" localSheetId="4">'3_무따기.DB(M) (2)'!#REF!</definedName>
    <definedName name="_xlnm.Criteria" localSheetId="5">'4_BrBad.DB(M)'!#REF!</definedName>
    <definedName name="_xlnm.Criteria" localSheetId="6">'5_Comm.DB(M)'!#REF!</definedName>
    <definedName name="_xlnm.Extract" localSheetId="2">'1_situation.DB(M)'!#REF!</definedName>
    <definedName name="_xlnm.Extract" localSheetId="3">'2_voca.DB(M)'!#REF!</definedName>
    <definedName name="_xlnm.Extract" localSheetId="4">'3_무따기.DB(M) (2)'!#REF!</definedName>
    <definedName name="_xlnm.Extract" localSheetId="5">'4_BrBad.DB(M)'!#REF!</definedName>
    <definedName name="_xlnm.Extract" localSheetId="6">'5_Comm.DB(M)'!#REF!</definedName>
  </definedNames>
  <calcPr calcId="144525"/>
</workbook>
</file>

<file path=xl/calcChain.xml><?xml version="1.0" encoding="utf-8"?>
<calcChain xmlns="http://schemas.openxmlformats.org/spreadsheetml/2006/main">
  <c r="V254" i="14" l="1"/>
  <c r="N254" i="14"/>
  <c r="V253" i="14"/>
  <c r="N253" i="14"/>
  <c r="V252" i="14"/>
  <c r="N252" i="14"/>
  <c r="V251" i="14"/>
  <c r="N251" i="14"/>
  <c r="V250" i="14"/>
  <c r="N250" i="14"/>
  <c r="V249" i="14"/>
  <c r="N249" i="14"/>
  <c r="V248" i="14"/>
  <c r="N248" i="14"/>
  <c r="V247" i="14"/>
  <c r="N247" i="14"/>
  <c r="V246" i="14"/>
  <c r="N246" i="14"/>
  <c r="V245" i="14"/>
  <c r="N245" i="14"/>
  <c r="V244" i="14"/>
  <c r="N244" i="14"/>
  <c r="V243" i="14"/>
  <c r="N243" i="14"/>
  <c r="V242" i="14"/>
  <c r="N242" i="14"/>
  <c r="V241" i="14"/>
  <c r="N241" i="14"/>
  <c r="V240" i="14"/>
  <c r="N240" i="14"/>
  <c r="V239" i="14"/>
  <c r="N239" i="14"/>
  <c r="V238" i="14"/>
  <c r="N238" i="14"/>
  <c r="V237" i="14"/>
  <c r="N237" i="14"/>
  <c r="V236" i="14"/>
  <c r="N236" i="14"/>
  <c r="V235" i="14"/>
  <c r="N235" i="14"/>
  <c r="V234" i="14"/>
  <c r="N234" i="14"/>
  <c r="V233" i="14"/>
  <c r="N233" i="14"/>
  <c r="V232" i="14"/>
  <c r="N232" i="14"/>
  <c r="V231" i="14"/>
  <c r="N231" i="14"/>
  <c r="V230" i="14"/>
  <c r="N230" i="14"/>
  <c r="V229" i="14"/>
  <c r="N229" i="14"/>
  <c r="V228" i="14"/>
  <c r="N228" i="14"/>
  <c r="V227" i="14"/>
  <c r="N227" i="14"/>
  <c r="V226" i="14"/>
  <c r="N226" i="14"/>
  <c r="V225" i="14"/>
  <c r="N225" i="14"/>
  <c r="V224" i="14"/>
  <c r="N224" i="14"/>
  <c r="V223" i="14"/>
  <c r="N223" i="14"/>
  <c r="V222" i="14"/>
  <c r="N222" i="14"/>
  <c r="V221" i="14"/>
  <c r="N221" i="14"/>
  <c r="V220" i="14"/>
  <c r="N220" i="14"/>
  <c r="V219" i="14"/>
  <c r="N219" i="14"/>
  <c r="V218" i="14"/>
  <c r="N218" i="14"/>
  <c r="V217" i="14"/>
  <c r="N217" i="14"/>
  <c r="V216" i="14"/>
  <c r="N216" i="14"/>
  <c r="V215" i="14"/>
  <c r="N215" i="14"/>
  <c r="V214" i="14"/>
  <c r="N214" i="14"/>
  <c r="V213" i="14"/>
  <c r="N213" i="14"/>
  <c r="V212" i="14"/>
  <c r="N212" i="14"/>
  <c r="V211" i="14"/>
  <c r="N211" i="14"/>
  <c r="V210" i="14"/>
  <c r="N210" i="14"/>
  <c r="V209" i="14"/>
  <c r="N209" i="14"/>
  <c r="V208" i="14"/>
  <c r="N208" i="14"/>
  <c r="V207" i="14"/>
  <c r="N207" i="14"/>
  <c r="V206" i="14"/>
  <c r="N206" i="14"/>
  <c r="V205" i="14"/>
  <c r="N205" i="14"/>
  <c r="V204" i="14"/>
  <c r="N204" i="14"/>
  <c r="V203" i="14"/>
  <c r="N203" i="14"/>
  <c r="V202" i="14"/>
  <c r="N202" i="14"/>
  <c r="V201" i="14"/>
  <c r="N201" i="14"/>
  <c r="V200" i="14"/>
  <c r="N200" i="14"/>
  <c r="V199" i="14"/>
  <c r="N199" i="14"/>
  <c r="V198" i="14"/>
  <c r="N198" i="14"/>
  <c r="V197" i="14"/>
  <c r="N197" i="14"/>
  <c r="V196" i="14"/>
  <c r="N196" i="14"/>
  <c r="V195" i="14"/>
  <c r="N195" i="14"/>
  <c r="V194" i="14"/>
  <c r="N194" i="14"/>
  <c r="V193" i="14"/>
  <c r="N193" i="14"/>
  <c r="V192" i="14"/>
  <c r="N192" i="14"/>
  <c r="V191" i="14"/>
  <c r="N191" i="14"/>
  <c r="V190" i="14"/>
  <c r="N190" i="14"/>
  <c r="V189" i="14"/>
  <c r="N189" i="14"/>
  <c r="V188" i="14"/>
  <c r="N188" i="14"/>
  <c r="V187" i="14"/>
  <c r="N187" i="14"/>
  <c r="V186" i="14"/>
  <c r="N186" i="14"/>
  <c r="V185" i="14"/>
  <c r="N185" i="14"/>
  <c r="V184" i="14"/>
  <c r="N184" i="14"/>
  <c r="V183" i="14"/>
  <c r="N183" i="14"/>
  <c r="V182" i="14"/>
  <c r="N182" i="14"/>
  <c r="V181" i="14"/>
  <c r="N181" i="14"/>
  <c r="V180" i="14"/>
  <c r="N180" i="14"/>
  <c r="V179" i="14"/>
  <c r="N179" i="14"/>
  <c r="V178" i="14"/>
  <c r="N178" i="14"/>
  <c r="V177" i="14"/>
  <c r="N177" i="14"/>
  <c r="V176" i="14"/>
  <c r="N176" i="14"/>
  <c r="V175" i="14"/>
  <c r="N175" i="14"/>
  <c r="V174" i="14"/>
  <c r="N174" i="14"/>
  <c r="V173" i="14"/>
  <c r="N173" i="14"/>
  <c r="V172" i="14"/>
  <c r="N172" i="14"/>
  <c r="V171" i="14"/>
  <c r="N171" i="14"/>
  <c r="V170" i="14"/>
  <c r="N170" i="14"/>
  <c r="V169" i="14"/>
  <c r="N169" i="14"/>
  <c r="V168" i="14"/>
  <c r="N168" i="14"/>
  <c r="V167" i="14"/>
  <c r="N167" i="14"/>
  <c r="V166" i="14"/>
  <c r="N166" i="14"/>
  <c r="V165" i="14"/>
  <c r="N165" i="14"/>
  <c r="V164" i="14"/>
  <c r="N164" i="14"/>
  <c r="V163" i="14"/>
  <c r="N163" i="14"/>
  <c r="V162" i="14"/>
  <c r="N162" i="14"/>
  <c r="V161" i="14"/>
  <c r="N161" i="14"/>
  <c r="V160" i="14"/>
  <c r="N160" i="14"/>
  <c r="V159" i="14"/>
  <c r="N159" i="14"/>
  <c r="V158" i="14"/>
  <c r="N158" i="14"/>
  <c r="V157" i="14"/>
  <c r="N157" i="14"/>
  <c r="V156" i="14"/>
  <c r="N156" i="14"/>
  <c r="V155" i="14"/>
  <c r="N155" i="14"/>
  <c r="V154" i="14"/>
  <c r="N154" i="14"/>
  <c r="V153" i="14"/>
  <c r="N153" i="14"/>
  <c r="V152" i="14"/>
  <c r="N152" i="14"/>
  <c r="V151" i="14"/>
  <c r="N151" i="14"/>
  <c r="V150" i="14"/>
  <c r="N150" i="14"/>
  <c r="V149" i="14"/>
  <c r="N149" i="14"/>
  <c r="V148" i="14"/>
  <c r="N148" i="14"/>
  <c r="V147" i="14"/>
  <c r="N147" i="14"/>
  <c r="V146" i="14"/>
  <c r="N146" i="14"/>
  <c r="V145" i="14"/>
  <c r="N145" i="14"/>
  <c r="V144" i="14"/>
  <c r="N144" i="14"/>
  <c r="V143" i="14"/>
  <c r="N143" i="14"/>
  <c r="V142" i="14"/>
  <c r="N142" i="14"/>
  <c r="V141" i="14"/>
  <c r="N141" i="14"/>
  <c r="V140" i="14"/>
  <c r="N140" i="14"/>
  <c r="V139" i="14"/>
  <c r="N139" i="14"/>
  <c r="V138" i="14"/>
  <c r="N138" i="14"/>
  <c r="V137" i="14"/>
  <c r="N137" i="14"/>
  <c r="V136" i="14"/>
  <c r="N136" i="14"/>
  <c r="V135" i="14"/>
  <c r="N135" i="14"/>
  <c r="V134" i="14"/>
  <c r="N134" i="14"/>
  <c r="V133" i="14"/>
  <c r="N133" i="14"/>
  <c r="V132" i="14"/>
  <c r="N132" i="14"/>
  <c r="V131" i="14"/>
  <c r="N131" i="14"/>
  <c r="V130" i="14"/>
  <c r="N130" i="14"/>
  <c r="V129" i="14"/>
  <c r="N129" i="14"/>
  <c r="V128" i="14"/>
  <c r="N128" i="14"/>
  <c r="V127" i="14"/>
  <c r="O127" i="14"/>
  <c r="N127" i="14"/>
  <c r="V126" i="14"/>
  <c r="O126" i="14"/>
  <c r="N126" i="14"/>
  <c r="V125" i="14"/>
  <c r="O125" i="14"/>
  <c r="N125" i="14"/>
  <c r="V124" i="14"/>
  <c r="O124" i="14"/>
  <c r="N124" i="14"/>
  <c r="V123" i="14"/>
  <c r="O123" i="14"/>
  <c r="N123" i="14"/>
  <c r="V122" i="14"/>
  <c r="O122" i="14"/>
  <c r="N122" i="14"/>
  <c r="V121" i="14"/>
  <c r="O121" i="14"/>
  <c r="N121" i="14"/>
  <c r="V120" i="14"/>
  <c r="O120" i="14"/>
  <c r="N120" i="14"/>
  <c r="V119" i="14"/>
  <c r="O119" i="14"/>
  <c r="N119" i="14"/>
  <c r="V118" i="14"/>
  <c r="O118" i="14"/>
  <c r="N118" i="14"/>
  <c r="V117" i="14"/>
  <c r="O117" i="14"/>
  <c r="N117" i="14"/>
  <c r="V116" i="14"/>
  <c r="O116" i="14"/>
  <c r="N116" i="14"/>
  <c r="V115" i="14"/>
  <c r="O115" i="14"/>
  <c r="N115" i="14"/>
  <c r="V114" i="14"/>
  <c r="O114" i="14"/>
  <c r="N114" i="14"/>
  <c r="V113" i="14"/>
  <c r="O113" i="14"/>
  <c r="N113" i="14"/>
  <c r="V112" i="14"/>
  <c r="O112" i="14"/>
  <c r="N112" i="14"/>
  <c r="V111" i="14"/>
  <c r="O111" i="14"/>
  <c r="N111" i="14"/>
  <c r="V110" i="14"/>
  <c r="O110" i="14"/>
  <c r="N110" i="14"/>
  <c r="V109" i="14"/>
  <c r="O109" i="14"/>
  <c r="N109" i="14"/>
  <c r="V108" i="14"/>
  <c r="O108" i="14"/>
  <c r="N108" i="14"/>
  <c r="V107" i="14"/>
  <c r="O107" i="14"/>
  <c r="N107" i="14"/>
  <c r="V106" i="14"/>
  <c r="O106" i="14"/>
  <c r="N106" i="14"/>
  <c r="V105" i="14"/>
  <c r="O105" i="14"/>
  <c r="N105" i="14"/>
  <c r="V104" i="14"/>
  <c r="O104" i="14"/>
  <c r="N104" i="14"/>
  <c r="V103" i="14"/>
  <c r="O103" i="14"/>
  <c r="N103" i="14"/>
  <c r="V102" i="14"/>
  <c r="O102" i="14"/>
  <c r="N102" i="14"/>
  <c r="V101" i="14"/>
  <c r="O101" i="14"/>
  <c r="N101" i="14"/>
  <c r="V100" i="14"/>
  <c r="O100" i="14"/>
  <c r="N100" i="14"/>
  <c r="V99" i="14"/>
  <c r="O99" i="14"/>
  <c r="N99" i="14"/>
  <c r="V98" i="14"/>
  <c r="O98" i="14"/>
  <c r="N98" i="14"/>
  <c r="V97" i="14"/>
  <c r="O97" i="14"/>
  <c r="N97" i="14"/>
  <c r="V96" i="14"/>
  <c r="O96" i="14"/>
  <c r="N96" i="14"/>
  <c r="V95" i="14"/>
  <c r="O95" i="14"/>
  <c r="N95" i="14"/>
  <c r="V94" i="14"/>
  <c r="O94" i="14"/>
  <c r="N94" i="14"/>
  <c r="V93" i="14"/>
  <c r="O93" i="14"/>
  <c r="N93" i="14"/>
  <c r="V92" i="14"/>
  <c r="O92" i="14"/>
  <c r="N92" i="14"/>
  <c r="V91" i="14"/>
  <c r="O91" i="14"/>
  <c r="N91" i="14"/>
  <c r="V90" i="14"/>
  <c r="O90" i="14"/>
  <c r="N90" i="14"/>
  <c r="V89" i="14"/>
  <c r="O89" i="14"/>
  <c r="N89" i="14"/>
  <c r="V88" i="14"/>
  <c r="O88" i="14"/>
  <c r="N88" i="14"/>
  <c r="V87" i="14"/>
  <c r="O87" i="14"/>
  <c r="N87" i="14"/>
  <c r="V86" i="14"/>
  <c r="O86" i="14"/>
  <c r="N86" i="14"/>
  <c r="V85" i="14"/>
  <c r="O85" i="14"/>
  <c r="N85" i="14"/>
  <c r="V84" i="14"/>
  <c r="O84" i="14"/>
  <c r="N84" i="14"/>
  <c r="V83" i="14"/>
  <c r="O83" i="14"/>
  <c r="N83" i="14"/>
  <c r="V82" i="14"/>
  <c r="O82" i="14"/>
  <c r="N82" i="14"/>
  <c r="V81" i="14"/>
  <c r="O81" i="14"/>
  <c r="N81" i="14"/>
  <c r="V80" i="14"/>
  <c r="O80" i="14"/>
  <c r="N80" i="14"/>
  <c r="V79" i="14"/>
  <c r="O79" i="14"/>
  <c r="N79" i="14"/>
  <c r="V78" i="14"/>
  <c r="O78" i="14"/>
  <c r="N78" i="14"/>
  <c r="V77" i="14"/>
  <c r="O77" i="14"/>
  <c r="N77" i="14"/>
  <c r="V76" i="14"/>
  <c r="O76" i="14"/>
  <c r="N76" i="14"/>
  <c r="V75" i="14"/>
  <c r="O75" i="14"/>
  <c r="N75" i="14"/>
  <c r="V74" i="14"/>
  <c r="O74" i="14"/>
  <c r="N74" i="14"/>
  <c r="V73" i="14"/>
  <c r="O73" i="14"/>
  <c r="N73" i="14"/>
  <c r="V72" i="14"/>
  <c r="O72" i="14"/>
  <c r="N72" i="14"/>
  <c r="V71" i="14"/>
  <c r="O71" i="14"/>
  <c r="N71" i="14"/>
  <c r="V70" i="14"/>
  <c r="O70" i="14"/>
  <c r="N70" i="14"/>
  <c r="V69" i="14"/>
  <c r="O69" i="14"/>
  <c r="N69" i="14"/>
  <c r="V68" i="14"/>
  <c r="O68" i="14"/>
  <c r="N68" i="14"/>
  <c r="V67" i="14"/>
  <c r="O67" i="14"/>
  <c r="N67" i="14"/>
  <c r="V66" i="14"/>
  <c r="O66" i="14"/>
  <c r="N66" i="14"/>
  <c r="V65" i="14"/>
  <c r="O65" i="14"/>
  <c r="N65" i="14"/>
  <c r="V64" i="14"/>
  <c r="O64" i="14"/>
  <c r="N64" i="14"/>
  <c r="V63" i="14"/>
  <c r="O63" i="14"/>
  <c r="N63" i="14"/>
  <c r="V62" i="14"/>
  <c r="O62" i="14"/>
  <c r="N62" i="14"/>
  <c r="V61" i="14"/>
  <c r="O61" i="14"/>
  <c r="N61" i="14"/>
  <c r="V60" i="14"/>
  <c r="O60" i="14"/>
  <c r="N60" i="14"/>
  <c r="V59" i="14"/>
  <c r="O59" i="14"/>
  <c r="N59" i="14"/>
  <c r="V58" i="14"/>
  <c r="O58" i="14"/>
  <c r="N58" i="14"/>
  <c r="V57" i="14"/>
  <c r="O57" i="14"/>
  <c r="N57" i="14"/>
  <c r="V56" i="14"/>
  <c r="O56" i="14"/>
  <c r="N56" i="14"/>
  <c r="V55" i="14"/>
  <c r="O55" i="14"/>
  <c r="N55" i="14"/>
  <c r="V54" i="14"/>
  <c r="O54" i="14"/>
  <c r="N54" i="14"/>
  <c r="V53" i="14"/>
  <c r="O53" i="14"/>
  <c r="N53" i="14"/>
  <c r="V52" i="14"/>
  <c r="O52" i="14"/>
  <c r="N52" i="14"/>
  <c r="V51" i="14"/>
  <c r="O51" i="14"/>
  <c r="N51" i="14"/>
  <c r="V50" i="14"/>
  <c r="O50" i="14"/>
  <c r="N50" i="14"/>
  <c r="V49" i="14"/>
  <c r="O49" i="14"/>
  <c r="N49" i="14"/>
  <c r="V48" i="14"/>
  <c r="O48" i="14"/>
  <c r="N48" i="14"/>
  <c r="V47" i="14"/>
  <c r="O47" i="14"/>
  <c r="N47" i="14"/>
  <c r="V46" i="14"/>
  <c r="O46" i="14"/>
  <c r="N46" i="14"/>
  <c r="V45" i="14"/>
  <c r="O45" i="14"/>
  <c r="N45" i="14"/>
  <c r="V44" i="14"/>
  <c r="O44" i="14"/>
  <c r="N44" i="14"/>
  <c r="V43" i="14"/>
  <c r="O43" i="14"/>
  <c r="N43" i="14"/>
  <c r="V42" i="14"/>
  <c r="O42" i="14"/>
  <c r="N42" i="14"/>
  <c r="V41" i="14"/>
  <c r="O41" i="14"/>
  <c r="N41" i="14"/>
  <c r="V40" i="14"/>
  <c r="O40" i="14"/>
  <c r="N40" i="14"/>
  <c r="V39" i="14"/>
  <c r="O39" i="14"/>
  <c r="N39" i="14"/>
  <c r="V38" i="14"/>
  <c r="O38" i="14"/>
  <c r="N38" i="14"/>
  <c r="V37" i="14"/>
  <c r="O37" i="14"/>
  <c r="N37" i="14"/>
  <c r="V36" i="14"/>
  <c r="O36" i="14"/>
  <c r="N36" i="14"/>
  <c r="V35" i="14"/>
  <c r="O35" i="14"/>
  <c r="N35" i="14"/>
  <c r="V34" i="14"/>
  <c r="O34" i="14"/>
  <c r="N34" i="14"/>
  <c r="V33" i="14"/>
  <c r="O33" i="14"/>
  <c r="N33" i="14"/>
  <c r="V32" i="14"/>
  <c r="O32" i="14"/>
  <c r="N32" i="14"/>
  <c r="V31" i="14"/>
  <c r="O31" i="14"/>
  <c r="N31" i="14"/>
  <c r="V30" i="14"/>
  <c r="O30" i="14"/>
  <c r="N30" i="14"/>
  <c r="V29" i="14"/>
  <c r="O29" i="14"/>
  <c r="N29" i="14"/>
  <c r="V28" i="14"/>
  <c r="O28" i="14"/>
  <c r="N28" i="14"/>
  <c r="V27" i="14"/>
  <c r="O27" i="14"/>
  <c r="N27" i="14"/>
  <c r="V26" i="14"/>
  <c r="O26" i="14"/>
  <c r="N26" i="14"/>
  <c r="V25" i="14"/>
  <c r="O25" i="14"/>
  <c r="N25" i="14"/>
  <c r="V24" i="14"/>
  <c r="O24" i="14"/>
  <c r="N24" i="14"/>
  <c r="V23" i="14"/>
  <c r="O23" i="14"/>
  <c r="N23" i="14"/>
  <c r="V22" i="14"/>
  <c r="O22" i="14"/>
  <c r="N22" i="14"/>
  <c r="V21" i="14"/>
  <c r="O21" i="14"/>
  <c r="N21" i="14"/>
  <c r="V20" i="14"/>
  <c r="O20" i="14"/>
  <c r="N20" i="14"/>
  <c r="V19" i="14"/>
  <c r="O19" i="14"/>
  <c r="N19" i="14"/>
  <c r="V18" i="14"/>
  <c r="O18" i="14"/>
  <c r="N18" i="14"/>
  <c r="V17" i="14"/>
  <c r="O17" i="14"/>
  <c r="N17" i="14"/>
  <c r="V16" i="14"/>
  <c r="O16" i="14"/>
  <c r="N16" i="14"/>
  <c r="V15" i="14"/>
  <c r="O15" i="14"/>
  <c r="N15" i="14"/>
  <c r="V14" i="14"/>
  <c r="O14" i="14"/>
  <c r="N14" i="14"/>
  <c r="V13" i="14"/>
  <c r="O13" i="14"/>
  <c r="N13" i="14"/>
  <c r="V12" i="14"/>
  <c r="O12" i="14"/>
  <c r="N12" i="14"/>
  <c r="V11" i="14"/>
  <c r="O11" i="14"/>
  <c r="N11" i="14"/>
  <c r="V10" i="14"/>
  <c r="O10" i="14"/>
  <c r="N10" i="14"/>
  <c r="V9" i="14"/>
  <c r="O9" i="14"/>
  <c r="N9" i="14"/>
  <c r="V8" i="14"/>
  <c r="O8" i="14"/>
  <c r="N8" i="14"/>
  <c r="V7" i="14"/>
  <c r="O7" i="14"/>
  <c r="N7" i="14"/>
  <c r="V6" i="14"/>
  <c r="O6" i="14"/>
  <c r="N6" i="14"/>
  <c r="V5" i="14"/>
  <c r="O5" i="14"/>
  <c r="N5" i="14"/>
  <c r="T3" i="14"/>
  <c r="U3" i="14" s="1"/>
  <c r="O1" i="14"/>
  <c r="V3" i="14" l="1"/>
  <c r="V6" i="13"/>
  <c r="V5" i="13"/>
  <c r="V254" i="13"/>
  <c r="N254" i="13"/>
  <c r="V253" i="13"/>
  <c r="N253" i="13"/>
  <c r="V252" i="13"/>
  <c r="N252" i="13"/>
  <c r="V251" i="13"/>
  <c r="N251" i="13"/>
  <c r="V250" i="13"/>
  <c r="N250" i="13"/>
  <c r="V249" i="13"/>
  <c r="N249" i="13"/>
  <c r="V248" i="13"/>
  <c r="N248" i="13"/>
  <c r="V247" i="13"/>
  <c r="N247" i="13"/>
  <c r="V246" i="13"/>
  <c r="N246" i="13"/>
  <c r="V245" i="13"/>
  <c r="N245" i="13"/>
  <c r="V244" i="13"/>
  <c r="N244" i="13"/>
  <c r="V243" i="13"/>
  <c r="N243" i="13"/>
  <c r="V242" i="13"/>
  <c r="N242" i="13"/>
  <c r="V241" i="13"/>
  <c r="N241" i="13"/>
  <c r="V240" i="13"/>
  <c r="N240" i="13"/>
  <c r="V239" i="13"/>
  <c r="N239" i="13"/>
  <c r="V238" i="13"/>
  <c r="N238" i="13"/>
  <c r="V237" i="13"/>
  <c r="N237" i="13"/>
  <c r="V236" i="13"/>
  <c r="N236" i="13"/>
  <c r="V235" i="13"/>
  <c r="N235" i="13"/>
  <c r="V234" i="13"/>
  <c r="N234" i="13"/>
  <c r="V233" i="13"/>
  <c r="N233" i="13"/>
  <c r="V232" i="13"/>
  <c r="N232" i="13"/>
  <c r="V231" i="13"/>
  <c r="N231" i="13"/>
  <c r="V230" i="13"/>
  <c r="N230" i="13"/>
  <c r="V229" i="13"/>
  <c r="N229" i="13"/>
  <c r="V228" i="13"/>
  <c r="N228" i="13"/>
  <c r="V227" i="13"/>
  <c r="N227" i="13"/>
  <c r="V226" i="13"/>
  <c r="N226" i="13"/>
  <c r="V225" i="13"/>
  <c r="N225" i="13"/>
  <c r="V224" i="13"/>
  <c r="N224" i="13"/>
  <c r="V223" i="13"/>
  <c r="N223" i="13"/>
  <c r="V222" i="13"/>
  <c r="N222" i="13"/>
  <c r="V221" i="13"/>
  <c r="N221" i="13"/>
  <c r="V220" i="13"/>
  <c r="N220" i="13"/>
  <c r="V219" i="13"/>
  <c r="N219" i="13"/>
  <c r="V218" i="13"/>
  <c r="N218" i="13"/>
  <c r="V217" i="13"/>
  <c r="N217" i="13"/>
  <c r="V216" i="13"/>
  <c r="N216" i="13"/>
  <c r="V215" i="13"/>
  <c r="N215" i="13"/>
  <c r="V214" i="13"/>
  <c r="N214" i="13"/>
  <c r="V213" i="13"/>
  <c r="N213" i="13"/>
  <c r="V212" i="13"/>
  <c r="N212" i="13"/>
  <c r="V211" i="13"/>
  <c r="N211" i="13"/>
  <c r="V210" i="13"/>
  <c r="N210" i="13"/>
  <c r="V209" i="13"/>
  <c r="N209" i="13"/>
  <c r="V208" i="13"/>
  <c r="N208" i="13"/>
  <c r="V207" i="13"/>
  <c r="N207" i="13"/>
  <c r="V206" i="13"/>
  <c r="N206" i="13"/>
  <c r="V205" i="13"/>
  <c r="N205" i="13"/>
  <c r="V204" i="13"/>
  <c r="N204" i="13"/>
  <c r="V203" i="13"/>
  <c r="N203" i="13"/>
  <c r="V202" i="13"/>
  <c r="N202" i="13"/>
  <c r="V201" i="13"/>
  <c r="N201" i="13"/>
  <c r="V200" i="13"/>
  <c r="N200" i="13"/>
  <c r="V199" i="13"/>
  <c r="N199" i="13"/>
  <c r="V198" i="13"/>
  <c r="N198" i="13"/>
  <c r="V197" i="13"/>
  <c r="N197" i="13"/>
  <c r="V196" i="13"/>
  <c r="N196" i="13"/>
  <c r="V195" i="13"/>
  <c r="N195" i="13"/>
  <c r="V194" i="13"/>
  <c r="N194" i="13"/>
  <c r="V193" i="13"/>
  <c r="N193" i="13"/>
  <c r="V192" i="13"/>
  <c r="N192" i="13"/>
  <c r="V191" i="13"/>
  <c r="N191" i="13"/>
  <c r="V190" i="13"/>
  <c r="N190" i="13"/>
  <c r="V189" i="13"/>
  <c r="N189" i="13"/>
  <c r="V188" i="13"/>
  <c r="N188" i="13"/>
  <c r="V187" i="13"/>
  <c r="N187" i="13"/>
  <c r="V186" i="13"/>
  <c r="N186" i="13"/>
  <c r="V185" i="13"/>
  <c r="N185" i="13"/>
  <c r="V184" i="13"/>
  <c r="N184" i="13"/>
  <c r="V183" i="13"/>
  <c r="N183" i="13"/>
  <c r="V182" i="13"/>
  <c r="N182" i="13"/>
  <c r="V181" i="13"/>
  <c r="N181" i="13"/>
  <c r="V180" i="13"/>
  <c r="N180" i="13"/>
  <c r="V179" i="13"/>
  <c r="N179" i="13"/>
  <c r="V178" i="13"/>
  <c r="N178" i="13"/>
  <c r="V177" i="13"/>
  <c r="N177" i="13"/>
  <c r="V176" i="13"/>
  <c r="N176" i="13"/>
  <c r="V175" i="13"/>
  <c r="N175" i="13"/>
  <c r="V174" i="13"/>
  <c r="N174" i="13"/>
  <c r="V173" i="13"/>
  <c r="N173" i="13"/>
  <c r="V172" i="13"/>
  <c r="N172" i="13"/>
  <c r="V171" i="13"/>
  <c r="N171" i="13"/>
  <c r="V170" i="13"/>
  <c r="N170" i="13"/>
  <c r="V169" i="13"/>
  <c r="N169" i="13"/>
  <c r="V168" i="13"/>
  <c r="N168" i="13"/>
  <c r="V167" i="13"/>
  <c r="N167" i="13"/>
  <c r="V166" i="13"/>
  <c r="N166" i="13"/>
  <c r="V165" i="13"/>
  <c r="N165" i="13"/>
  <c r="V164" i="13"/>
  <c r="N164" i="13"/>
  <c r="V163" i="13"/>
  <c r="N163" i="13"/>
  <c r="V162" i="13"/>
  <c r="N162" i="13"/>
  <c r="V161" i="13"/>
  <c r="N161" i="13"/>
  <c r="V160" i="13"/>
  <c r="N160" i="13"/>
  <c r="V159" i="13"/>
  <c r="N159" i="13"/>
  <c r="V158" i="13"/>
  <c r="N158" i="13"/>
  <c r="V157" i="13"/>
  <c r="N157" i="13"/>
  <c r="V156" i="13"/>
  <c r="N156" i="13"/>
  <c r="V155" i="13"/>
  <c r="N155" i="13"/>
  <c r="V154" i="13"/>
  <c r="N154" i="13"/>
  <c r="V153" i="13"/>
  <c r="N153" i="13"/>
  <c r="V152" i="13"/>
  <c r="N152" i="13"/>
  <c r="V151" i="13"/>
  <c r="N151" i="13"/>
  <c r="V150" i="13"/>
  <c r="N150" i="13"/>
  <c r="V149" i="13"/>
  <c r="N149" i="13"/>
  <c r="V148" i="13"/>
  <c r="N148" i="13"/>
  <c r="V147" i="13"/>
  <c r="N147" i="13"/>
  <c r="V146" i="13"/>
  <c r="N146" i="13"/>
  <c r="V145" i="13"/>
  <c r="N145" i="13"/>
  <c r="V144" i="13"/>
  <c r="N144" i="13"/>
  <c r="V143" i="13"/>
  <c r="N143" i="13"/>
  <c r="V142" i="13"/>
  <c r="N142" i="13"/>
  <c r="V141" i="13"/>
  <c r="N141" i="13"/>
  <c r="V140" i="13"/>
  <c r="N140" i="13"/>
  <c r="V139" i="13"/>
  <c r="N139" i="13"/>
  <c r="V138" i="13"/>
  <c r="N138" i="13"/>
  <c r="V137" i="13"/>
  <c r="N137" i="13"/>
  <c r="V136" i="13"/>
  <c r="N136" i="13"/>
  <c r="V135" i="13"/>
  <c r="N135" i="13"/>
  <c r="V134" i="13"/>
  <c r="N134" i="13"/>
  <c r="V133" i="13"/>
  <c r="N133" i="13"/>
  <c r="V132" i="13"/>
  <c r="N132" i="13"/>
  <c r="V131" i="13"/>
  <c r="N131" i="13"/>
  <c r="V130" i="13"/>
  <c r="N130" i="13"/>
  <c r="V129" i="13"/>
  <c r="N129" i="13"/>
  <c r="V128" i="13"/>
  <c r="N128" i="13"/>
  <c r="V127" i="13"/>
  <c r="O127" i="13"/>
  <c r="N127" i="13"/>
  <c r="V126" i="13"/>
  <c r="O126" i="13"/>
  <c r="N126" i="13"/>
  <c r="V125" i="13"/>
  <c r="O125" i="13"/>
  <c r="N125" i="13"/>
  <c r="V124" i="13"/>
  <c r="O124" i="13"/>
  <c r="N124" i="13"/>
  <c r="V123" i="13"/>
  <c r="O123" i="13"/>
  <c r="N123" i="13"/>
  <c r="V122" i="13"/>
  <c r="O122" i="13"/>
  <c r="N122" i="13"/>
  <c r="V121" i="13"/>
  <c r="O121" i="13"/>
  <c r="N121" i="13"/>
  <c r="V120" i="13"/>
  <c r="O120" i="13"/>
  <c r="N120" i="13"/>
  <c r="V119" i="13"/>
  <c r="O119" i="13"/>
  <c r="N119" i="13"/>
  <c r="V118" i="13"/>
  <c r="O118" i="13"/>
  <c r="N118" i="13"/>
  <c r="V117" i="13"/>
  <c r="O117" i="13"/>
  <c r="N117" i="13"/>
  <c r="V116" i="13"/>
  <c r="O116" i="13"/>
  <c r="N116" i="13"/>
  <c r="V115" i="13"/>
  <c r="O115" i="13"/>
  <c r="N115" i="13"/>
  <c r="V114" i="13"/>
  <c r="O114" i="13"/>
  <c r="N114" i="13"/>
  <c r="V113" i="13"/>
  <c r="O113" i="13"/>
  <c r="N113" i="13"/>
  <c r="V112" i="13"/>
  <c r="O112" i="13"/>
  <c r="N112" i="13"/>
  <c r="V111" i="13"/>
  <c r="O111" i="13"/>
  <c r="N111" i="13"/>
  <c r="V110" i="13"/>
  <c r="O110" i="13"/>
  <c r="N110" i="13"/>
  <c r="V109" i="13"/>
  <c r="O109" i="13"/>
  <c r="N109" i="13"/>
  <c r="V108" i="13"/>
  <c r="O108" i="13"/>
  <c r="N108" i="13"/>
  <c r="V107" i="13"/>
  <c r="O107" i="13"/>
  <c r="N107" i="13"/>
  <c r="V106" i="13"/>
  <c r="O106" i="13"/>
  <c r="N106" i="13"/>
  <c r="V105" i="13"/>
  <c r="O105" i="13"/>
  <c r="N105" i="13"/>
  <c r="V104" i="13"/>
  <c r="O104" i="13"/>
  <c r="N104" i="13"/>
  <c r="V103" i="13"/>
  <c r="O103" i="13"/>
  <c r="N103" i="13"/>
  <c r="V102" i="13"/>
  <c r="O102" i="13"/>
  <c r="N102" i="13"/>
  <c r="V101" i="13"/>
  <c r="O101" i="13"/>
  <c r="N101" i="13"/>
  <c r="V100" i="13"/>
  <c r="O100" i="13"/>
  <c r="N100" i="13"/>
  <c r="V99" i="13"/>
  <c r="O99" i="13"/>
  <c r="N99" i="13"/>
  <c r="V98" i="13"/>
  <c r="O98" i="13"/>
  <c r="N98" i="13"/>
  <c r="V97" i="13"/>
  <c r="O97" i="13"/>
  <c r="N97" i="13"/>
  <c r="V96" i="13"/>
  <c r="O96" i="13"/>
  <c r="N96" i="13"/>
  <c r="V95" i="13"/>
  <c r="O95" i="13"/>
  <c r="N95" i="13"/>
  <c r="V94" i="13"/>
  <c r="O94" i="13"/>
  <c r="N94" i="13"/>
  <c r="V93" i="13"/>
  <c r="O93" i="13"/>
  <c r="N93" i="13"/>
  <c r="V92" i="13"/>
  <c r="O92" i="13"/>
  <c r="N92" i="13"/>
  <c r="V91" i="13"/>
  <c r="O91" i="13"/>
  <c r="N91" i="13"/>
  <c r="V90" i="13"/>
  <c r="O90" i="13"/>
  <c r="N90" i="13"/>
  <c r="V89" i="13"/>
  <c r="O89" i="13"/>
  <c r="N89" i="13"/>
  <c r="V88" i="13"/>
  <c r="O88" i="13"/>
  <c r="N88" i="13"/>
  <c r="V87" i="13"/>
  <c r="O87" i="13"/>
  <c r="N87" i="13"/>
  <c r="V86" i="13"/>
  <c r="O86" i="13"/>
  <c r="N86" i="13"/>
  <c r="V85" i="13"/>
  <c r="O85" i="13"/>
  <c r="N85" i="13"/>
  <c r="V84" i="13"/>
  <c r="O84" i="13"/>
  <c r="N84" i="13"/>
  <c r="V83" i="13"/>
  <c r="O83" i="13"/>
  <c r="N83" i="13"/>
  <c r="V82" i="13"/>
  <c r="O82" i="13"/>
  <c r="N82" i="13"/>
  <c r="V81" i="13"/>
  <c r="O81" i="13"/>
  <c r="N81" i="13"/>
  <c r="V80" i="13"/>
  <c r="O80" i="13"/>
  <c r="N80" i="13"/>
  <c r="V79" i="13"/>
  <c r="O79" i="13"/>
  <c r="N79" i="13"/>
  <c r="V78" i="13"/>
  <c r="O78" i="13"/>
  <c r="N78" i="13"/>
  <c r="V77" i="13"/>
  <c r="O77" i="13"/>
  <c r="N77" i="13"/>
  <c r="V76" i="13"/>
  <c r="O76" i="13"/>
  <c r="N76" i="13"/>
  <c r="V75" i="13"/>
  <c r="O75" i="13"/>
  <c r="N75" i="13"/>
  <c r="V74" i="13"/>
  <c r="O74" i="13"/>
  <c r="N74" i="13"/>
  <c r="V73" i="13"/>
  <c r="O73" i="13"/>
  <c r="N73" i="13"/>
  <c r="V72" i="13"/>
  <c r="O72" i="13"/>
  <c r="N72" i="13"/>
  <c r="V71" i="13"/>
  <c r="O71" i="13"/>
  <c r="N71" i="13"/>
  <c r="V70" i="13"/>
  <c r="O70" i="13"/>
  <c r="N70" i="13"/>
  <c r="V69" i="13"/>
  <c r="O69" i="13"/>
  <c r="N69" i="13"/>
  <c r="V68" i="13"/>
  <c r="O68" i="13"/>
  <c r="N68" i="13"/>
  <c r="V67" i="13"/>
  <c r="O67" i="13"/>
  <c r="N67" i="13"/>
  <c r="V66" i="13"/>
  <c r="O66" i="13"/>
  <c r="N66" i="13"/>
  <c r="V65" i="13"/>
  <c r="O65" i="13"/>
  <c r="N65" i="13"/>
  <c r="V64" i="13"/>
  <c r="O64" i="13"/>
  <c r="N64" i="13"/>
  <c r="V63" i="13"/>
  <c r="O63" i="13"/>
  <c r="N63" i="13"/>
  <c r="V62" i="13"/>
  <c r="O62" i="13"/>
  <c r="N62" i="13"/>
  <c r="V61" i="13"/>
  <c r="O61" i="13"/>
  <c r="N61" i="13"/>
  <c r="V60" i="13"/>
  <c r="O60" i="13"/>
  <c r="N60" i="13"/>
  <c r="V59" i="13"/>
  <c r="O59" i="13"/>
  <c r="N59" i="13"/>
  <c r="V58" i="13"/>
  <c r="O58" i="13"/>
  <c r="N58" i="13"/>
  <c r="V57" i="13"/>
  <c r="O57" i="13"/>
  <c r="N57" i="13"/>
  <c r="V56" i="13"/>
  <c r="O56" i="13"/>
  <c r="N56" i="13"/>
  <c r="V55" i="13"/>
  <c r="O55" i="13"/>
  <c r="N55" i="13"/>
  <c r="V54" i="13"/>
  <c r="O54" i="13"/>
  <c r="N54" i="13"/>
  <c r="V53" i="13"/>
  <c r="O53" i="13"/>
  <c r="N53" i="13"/>
  <c r="V52" i="13"/>
  <c r="O52" i="13"/>
  <c r="N52" i="13"/>
  <c r="V51" i="13"/>
  <c r="O51" i="13"/>
  <c r="N51" i="13"/>
  <c r="V50" i="13"/>
  <c r="O50" i="13"/>
  <c r="N50" i="13"/>
  <c r="V49" i="13"/>
  <c r="O49" i="13"/>
  <c r="N49" i="13"/>
  <c r="V48" i="13"/>
  <c r="O48" i="13"/>
  <c r="N48" i="13"/>
  <c r="V47" i="13"/>
  <c r="O47" i="13"/>
  <c r="N47" i="13"/>
  <c r="V46" i="13"/>
  <c r="O46" i="13"/>
  <c r="N46" i="13"/>
  <c r="V45" i="13"/>
  <c r="O45" i="13"/>
  <c r="N45" i="13"/>
  <c r="V44" i="13"/>
  <c r="O44" i="13"/>
  <c r="N44" i="13"/>
  <c r="V43" i="13"/>
  <c r="O43" i="13"/>
  <c r="N43" i="13"/>
  <c r="V42" i="13"/>
  <c r="O42" i="13"/>
  <c r="N42" i="13"/>
  <c r="V41" i="13"/>
  <c r="O41" i="13"/>
  <c r="N41" i="13"/>
  <c r="V40" i="13"/>
  <c r="O40" i="13"/>
  <c r="N40" i="13"/>
  <c r="V39" i="13"/>
  <c r="O39" i="13"/>
  <c r="N39" i="13"/>
  <c r="V38" i="13"/>
  <c r="O38" i="13"/>
  <c r="N38" i="13"/>
  <c r="V37" i="13"/>
  <c r="O37" i="13"/>
  <c r="N37" i="13"/>
  <c r="V36" i="13"/>
  <c r="O36" i="13"/>
  <c r="N36" i="13"/>
  <c r="V35" i="13"/>
  <c r="O35" i="13"/>
  <c r="N35" i="13"/>
  <c r="V34" i="13"/>
  <c r="O34" i="13"/>
  <c r="N34" i="13"/>
  <c r="V33" i="13"/>
  <c r="O33" i="13"/>
  <c r="N33" i="13"/>
  <c r="V32" i="13"/>
  <c r="O32" i="13"/>
  <c r="N32" i="13"/>
  <c r="V31" i="13"/>
  <c r="O31" i="13"/>
  <c r="N31" i="13"/>
  <c r="V30" i="13"/>
  <c r="O30" i="13"/>
  <c r="N30" i="13"/>
  <c r="V29" i="13"/>
  <c r="O29" i="13"/>
  <c r="N29" i="13"/>
  <c r="V28" i="13"/>
  <c r="O28" i="13"/>
  <c r="N28" i="13"/>
  <c r="V27" i="13"/>
  <c r="O27" i="13"/>
  <c r="N27" i="13"/>
  <c r="V26" i="13"/>
  <c r="O26" i="13"/>
  <c r="N26" i="13"/>
  <c r="V25" i="13"/>
  <c r="O25" i="13"/>
  <c r="N25" i="13"/>
  <c r="V24" i="13"/>
  <c r="O24" i="13"/>
  <c r="N24" i="13"/>
  <c r="V23" i="13"/>
  <c r="O23" i="13"/>
  <c r="N23" i="13"/>
  <c r="V22" i="13"/>
  <c r="O22" i="13"/>
  <c r="N22" i="13"/>
  <c r="V21" i="13"/>
  <c r="O21" i="13"/>
  <c r="N21" i="13"/>
  <c r="V20" i="13"/>
  <c r="O20" i="13"/>
  <c r="N20" i="13"/>
  <c r="V19" i="13"/>
  <c r="O19" i="13"/>
  <c r="N19" i="13"/>
  <c r="V18" i="13"/>
  <c r="O18" i="13"/>
  <c r="N18" i="13"/>
  <c r="V17" i="13"/>
  <c r="O17" i="13"/>
  <c r="N17" i="13"/>
  <c r="V16" i="13"/>
  <c r="O16" i="13"/>
  <c r="N16" i="13"/>
  <c r="V15" i="13"/>
  <c r="O15" i="13"/>
  <c r="N15" i="13"/>
  <c r="V14" i="13"/>
  <c r="O14" i="13"/>
  <c r="N14" i="13"/>
  <c r="V13" i="13"/>
  <c r="O13" i="13"/>
  <c r="N13" i="13"/>
  <c r="V12" i="13"/>
  <c r="O12" i="13"/>
  <c r="N12" i="13"/>
  <c r="V11" i="13"/>
  <c r="O11" i="13"/>
  <c r="N11" i="13"/>
  <c r="V10" i="13"/>
  <c r="O10" i="13"/>
  <c r="N10" i="13"/>
  <c r="V9" i="13"/>
  <c r="O9" i="13"/>
  <c r="N9" i="13"/>
  <c r="V8" i="13"/>
  <c r="O8" i="13"/>
  <c r="N8" i="13"/>
  <c r="V7" i="13"/>
  <c r="O7" i="13"/>
  <c r="N7" i="13"/>
  <c r="O6" i="13"/>
  <c r="N6" i="13"/>
  <c r="O5" i="13"/>
  <c r="N5" i="13"/>
  <c r="T3" i="13"/>
  <c r="U3" i="13" s="1"/>
  <c r="V3" i="13" l="1"/>
  <c r="O1" i="13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V5" i="12"/>
  <c r="N128" i="12"/>
  <c r="N129" i="12"/>
  <c r="N130" i="12"/>
  <c r="N131" i="12"/>
  <c r="N132" i="12"/>
  <c r="N133" i="12"/>
  <c r="N134" i="12"/>
  <c r="N135" i="12"/>
  <c r="N136" i="12"/>
  <c r="N137" i="12"/>
  <c r="N138" i="12"/>
  <c r="N139" i="12"/>
  <c r="N140" i="12"/>
  <c r="N141" i="12"/>
  <c r="N142" i="12"/>
  <c r="N143" i="12"/>
  <c r="N144" i="12"/>
  <c r="N145" i="12"/>
  <c r="N146" i="12"/>
  <c r="N147" i="12"/>
  <c r="N148" i="12"/>
  <c r="N149" i="12"/>
  <c r="N150" i="12"/>
  <c r="N151" i="12"/>
  <c r="N152" i="12"/>
  <c r="N153" i="12"/>
  <c r="N154" i="12"/>
  <c r="N155" i="12"/>
  <c r="N156" i="12"/>
  <c r="N157" i="12"/>
  <c r="N158" i="12"/>
  <c r="N159" i="12"/>
  <c r="N160" i="12"/>
  <c r="N161" i="12"/>
  <c r="N162" i="12"/>
  <c r="N163" i="12"/>
  <c r="N164" i="12"/>
  <c r="N165" i="12"/>
  <c r="N166" i="12"/>
  <c r="N167" i="12"/>
  <c r="N168" i="12"/>
  <c r="N169" i="12"/>
  <c r="N170" i="12"/>
  <c r="N171" i="12"/>
  <c r="N172" i="12"/>
  <c r="N173" i="12"/>
  <c r="N174" i="12"/>
  <c r="N175" i="12"/>
  <c r="N176" i="12"/>
  <c r="N177" i="12"/>
  <c r="N178" i="12"/>
  <c r="N179" i="12"/>
  <c r="N180" i="12"/>
  <c r="N181" i="12"/>
  <c r="N182" i="12"/>
  <c r="N183" i="12"/>
  <c r="N184" i="12"/>
  <c r="N185" i="12"/>
  <c r="N186" i="12"/>
  <c r="N187" i="12"/>
  <c r="N188" i="12"/>
  <c r="N189" i="12"/>
  <c r="N190" i="12"/>
  <c r="N191" i="12"/>
  <c r="N192" i="12"/>
  <c r="N193" i="12"/>
  <c r="N194" i="12"/>
  <c r="N195" i="12"/>
  <c r="N196" i="12"/>
  <c r="N197" i="12"/>
  <c r="N198" i="12"/>
  <c r="N199" i="12"/>
  <c r="N200" i="12"/>
  <c r="N201" i="12"/>
  <c r="N202" i="12"/>
  <c r="N203" i="12"/>
  <c r="N204" i="12"/>
  <c r="N205" i="12"/>
  <c r="N206" i="12"/>
  <c r="N207" i="12"/>
  <c r="N208" i="12"/>
  <c r="N209" i="12"/>
  <c r="N210" i="12"/>
  <c r="N211" i="12"/>
  <c r="N212" i="12"/>
  <c r="N213" i="12"/>
  <c r="N214" i="12"/>
  <c r="N215" i="12"/>
  <c r="N216" i="12"/>
  <c r="N217" i="12"/>
  <c r="N218" i="12"/>
  <c r="N219" i="12"/>
  <c r="N220" i="12"/>
  <c r="N221" i="12"/>
  <c r="N222" i="12"/>
  <c r="N223" i="12"/>
  <c r="N224" i="12"/>
  <c r="N225" i="12"/>
  <c r="N226" i="12"/>
  <c r="N227" i="12"/>
  <c r="N228" i="12"/>
  <c r="N229" i="12"/>
  <c r="N230" i="12"/>
  <c r="N231" i="12"/>
  <c r="N232" i="12"/>
  <c r="N233" i="12"/>
  <c r="N234" i="12"/>
  <c r="N235" i="12"/>
  <c r="N236" i="12"/>
  <c r="N237" i="12"/>
  <c r="N238" i="12"/>
  <c r="N239" i="12"/>
  <c r="N240" i="12"/>
  <c r="N241" i="12"/>
  <c r="N242" i="12"/>
  <c r="N243" i="12"/>
  <c r="N244" i="12"/>
  <c r="N245" i="12"/>
  <c r="N246" i="12"/>
  <c r="N247" i="12"/>
  <c r="N248" i="12"/>
  <c r="N249" i="12"/>
  <c r="N250" i="12"/>
  <c r="N251" i="12"/>
  <c r="N252" i="12"/>
  <c r="N253" i="12"/>
  <c r="N254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107" i="12"/>
  <c r="N108" i="12"/>
  <c r="N109" i="12"/>
  <c r="N110" i="12"/>
  <c r="N111" i="12"/>
  <c r="N112" i="12"/>
  <c r="N113" i="12"/>
  <c r="N114" i="12"/>
  <c r="N115" i="12"/>
  <c r="N116" i="12"/>
  <c r="N117" i="12"/>
  <c r="N118" i="12"/>
  <c r="N119" i="12"/>
  <c r="N120" i="12"/>
  <c r="N121" i="12"/>
  <c r="N122" i="12"/>
  <c r="N123" i="12"/>
  <c r="N124" i="12"/>
  <c r="N125" i="12"/>
  <c r="N126" i="12"/>
  <c r="N127" i="12"/>
  <c r="N5" i="12"/>
  <c r="O1" i="12" s="1"/>
  <c r="O127" i="12"/>
  <c r="O126" i="12"/>
  <c r="O125" i="12"/>
  <c r="O124" i="12"/>
  <c r="O123" i="12"/>
  <c r="O122" i="12"/>
  <c r="O121" i="12"/>
  <c r="O120" i="12"/>
  <c r="O119" i="12"/>
  <c r="O118" i="12"/>
  <c r="O117" i="12"/>
  <c r="O116" i="12"/>
  <c r="O115" i="12"/>
  <c r="O114" i="12"/>
  <c r="O113" i="12"/>
  <c r="O112" i="12"/>
  <c r="O111" i="12"/>
  <c r="O110" i="12"/>
  <c r="O109" i="12"/>
  <c r="O108" i="12"/>
  <c r="O107" i="12"/>
  <c r="O106" i="12"/>
  <c r="O105" i="12"/>
  <c r="O104" i="12"/>
  <c r="O103" i="12"/>
  <c r="O102" i="12"/>
  <c r="O101" i="12"/>
  <c r="O100" i="12"/>
  <c r="O99" i="12"/>
  <c r="O98" i="12"/>
  <c r="O97" i="12"/>
  <c r="O96" i="12"/>
  <c r="O95" i="12"/>
  <c r="O94" i="12"/>
  <c r="O93" i="12"/>
  <c r="O92" i="12"/>
  <c r="O91" i="12"/>
  <c r="O90" i="12"/>
  <c r="O89" i="12"/>
  <c r="O88" i="12"/>
  <c r="O87" i="12"/>
  <c r="O86" i="12"/>
  <c r="O85" i="12"/>
  <c r="O84" i="12"/>
  <c r="O83" i="12"/>
  <c r="O82" i="12"/>
  <c r="O81" i="12"/>
  <c r="O80" i="12"/>
  <c r="O79" i="12"/>
  <c r="O78" i="12"/>
  <c r="O77" i="12"/>
  <c r="O76" i="12"/>
  <c r="O75" i="12"/>
  <c r="O74" i="12"/>
  <c r="O73" i="12"/>
  <c r="O72" i="12"/>
  <c r="O71" i="12"/>
  <c r="O70" i="12"/>
  <c r="O69" i="12"/>
  <c r="O68" i="12"/>
  <c r="O67" i="12"/>
  <c r="O66" i="12"/>
  <c r="O65" i="12"/>
  <c r="O64" i="12"/>
  <c r="O63" i="12"/>
  <c r="O62" i="12"/>
  <c r="O61" i="12"/>
  <c r="O60" i="12"/>
  <c r="O59" i="12"/>
  <c r="O58" i="12"/>
  <c r="O57" i="12"/>
  <c r="O56" i="12"/>
  <c r="O55" i="12"/>
  <c r="O54" i="12"/>
  <c r="O53" i="12"/>
  <c r="O52" i="12"/>
  <c r="O51" i="12"/>
  <c r="O50" i="12"/>
  <c r="O49" i="12"/>
  <c r="O48" i="12"/>
  <c r="O47" i="12"/>
  <c r="O46" i="12"/>
  <c r="O45" i="12"/>
  <c r="O44" i="12"/>
  <c r="O43" i="12"/>
  <c r="O42" i="12"/>
  <c r="O41" i="12"/>
  <c r="O40" i="12"/>
  <c r="O39" i="12"/>
  <c r="O38" i="12"/>
  <c r="O37" i="12"/>
  <c r="O36" i="12"/>
  <c r="O35" i="12"/>
  <c r="O34" i="12"/>
  <c r="O33" i="12"/>
  <c r="O32" i="12"/>
  <c r="O31" i="12"/>
  <c r="O30" i="12"/>
  <c r="O29" i="12"/>
  <c r="O28" i="12"/>
  <c r="O27" i="12"/>
  <c r="O26" i="12"/>
  <c r="O25" i="12"/>
  <c r="O24" i="12"/>
  <c r="O23" i="12"/>
  <c r="O22" i="12"/>
  <c r="O21" i="12"/>
  <c r="O20" i="12"/>
  <c r="O19" i="12"/>
  <c r="O18" i="12"/>
  <c r="O17" i="12"/>
  <c r="O16" i="12"/>
  <c r="O15" i="12"/>
  <c r="O14" i="12"/>
  <c r="O13" i="12"/>
  <c r="O12" i="12"/>
  <c r="O11" i="12"/>
  <c r="O10" i="12"/>
  <c r="O9" i="12"/>
  <c r="O8" i="12"/>
  <c r="O7" i="12"/>
  <c r="O6" i="12"/>
  <c r="O5" i="12"/>
  <c r="T3" i="12"/>
  <c r="U3" i="12" s="1"/>
  <c r="V3" i="12" l="1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R105" i="11" l="1"/>
  <c r="S104" i="11"/>
  <c r="R104" i="11"/>
  <c r="S103" i="11"/>
  <c r="R103" i="11"/>
  <c r="S102" i="11"/>
  <c r="R102" i="11"/>
  <c r="S101" i="11"/>
  <c r="R101" i="11"/>
  <c r="S100" i="11"/>
  <c r="R100" i="11"/>
  <c r="S99" i="11"/>
  <c r="R99" i="11"/>
  <c r="S98" i="11"/>
  <c r="R98" i="11"/>
  <c r="S97" i="11"/>
  <c r="R97" i="11"/>
  <c r="S96" i="11"/>
  <c r="R96" i="11"/>
  <c r="S95" i="11"/>
  <c r="R95" i="11"/>
  <c r="S94" i="11"/>
  <c r="R94" i="11"/>
  <c r="S93" i="11"/>
  <c r="R93" i="11"/>
  <c r="S92" i="11"/>
  <c r="R92" i="11"/>
  <c r="S91" i="11"/>
  <c r="R91" i="11"/>
  <c r="S90" i="11"/>
  <c r="R90" i="11"/>
  <c r="S89" i="11"/>
  <c r="R89" i="11"/>
  <c r="S88" i="11"/>
  <c r="R88" i="11"/>
  <c r="S87" i="11"/>
  <c r="R87" i="11"/>
  <c r="S86" i="11"/>
  <c r="R86" i="11"/>
  <c r="S85" i="11"/>
  <c r="R85" i="11"/>
  <c r="S84" i="11"/>
  <c r="R84" i="11"/>
  <c r="S83" i="11"/>
  <c r="R83" i="11"/>
  <c r="S82" i="11"/>
  <c r="R82" i="11"/>
  <c r="S81" i="11"/>
  <c r="R81" i="11"/>
  <c r="S80" i="11"/>
  <c r="R80" i="11"/>
  <c r="S79" i="11"/>
  <c r="R79" i="11"/>
  <c r="S78" i="11"/>
  <c r="R78" i="11"/>
  <c r="S77" i="11"/>
  <c r="R77" i="11"/>
  <c r="S76" i="11"/>
  <c r="R76" i="11"/>
  <c r="S75" i="11"/>
  <c r="R75" i="11"/>
  <c r="S74" i="11"/>
  <c r="R74" i="11"/>
  <c r="S73" i="11"/>
  <c r="R73" i="11"/>
  <c r="S72" i="11"/>
  <c r="R72" i="11"/>
  <c r="S71" i="11"/>
  <c r="R71" i="11"/>
  <c r="S70" i="11"/>
  <c r="R70" i="11"/>
  <c r="S69" i="11"/>
  <c r="R69" i="11"/>
  <c r="S68" i="11"/>
  <c r="R68" i="11"/>
  <c r="S67" i="11"/>
  <c r="R67" i="11"/>
  <c r="S66" i="11"/>
  <c r="R66" i="11"/>
  <c r="S65" i="11"/>
  <c r="R65" i="11"/>
  <c r="S64" i="11"/>
  <c r="R64" i="11"/>
  <c r="S63" i="11"/>
  <c r="R63" i="11"/>
  <c r="S62" i="11"/>
  <c r="R62" i="11"/>
  <c r="S61" i="11"/>
  <c r="R61" i="11"/>
  <c r="S60" i="11"/>
  <c r="R60" i="11"/>
  <c r="S59" i="11"/>
  <c r="R59" i="11"/>
  <c r="S58" i="11"/>
  <c r="R58" i="11"/>
  <c r="S57" i="11"/>
  <c r="R57" i="11"/>
  <c r="S56" i="11"/>
  <c r="R56" i="11"/>
  <c r="S55" i="11"/>
  <c r="R55" i="11"/>
  <c r="S54" i="11"/>
  <c r="R54" i="11"/>
  <c r="S53" i="11"/>
  <c r="R53" i="11"/>
  <c r="S52" i="11"/>
  <c r="R52" i="11"/>
  <c r="S51" i="11"/>
  <c r="R51" i="11"/>
  <c r="S50" i="11"/>
  <c r="R50" i="11"/>
  <c r="S49" i="11"/>
  <c r="R49" i="11"/>
  <c r="S48" i="11"/>
  <c r="R48" i="11"/>
  <c r="S47" i="11"/>
  <c r="R47" i="11"/>
  <c r="S46" i="11"/>
  <c r="R46" i="11"/>
  <c r="S45" i="11"/>
  <c r="R45" i="11"/>
  <c r="S44" i="11"/>
  <c r="R44" i="11"/>
  <c r="S43" i="11"/>
  <c r="R43" i="11"/>
  <c r="S42" i="11"/>
  <c r="R42" i="11"/>
  <c r="S41" i="11"/>
  <c r="R41" i="11"/>
  <c r="S40" i="11"/>
  <c r="R40" i="11"/>
  <c r="S39" i="11"/>
  <c r="R39" i="11"/>
  <c r="S38" i="11"/>
  <c r="R38" i="11"/>
  <c r="S37" i="11"/>
  <c r="R37" i="11"/>
  <c r="S36" i="11"/>
  <c r="R36" i="11"/>
  <c r="S35" i="11"/>
  <c r="R35" i="11"/>
  <c r="S34" i="11"/>
  <c r="R34" i="11"/>
  <c r="S33" i="11"/>
  <c r="R33" i="11"/>
  <c r="S32" i="11"/>
  <c r="R32" i="11"/>
  <c r="S31" i="11"/>
  <c r="R31" i="11"/>
  <c r="S30" i="11"/>
  <c r="R30" i="11"/>
  <c r="S29" i="11"/>
  <c r="R29" i="11"/>
  <c r="S28" i="11"/>
  <c r="R28" i="11"/>
  <c r="S27" i="11"/>
  <c r="R27" i="11"/>
  <c r="S26" i="11"/>
  <c r="R26" i="11"/>
  <c r="S25" i="11"/>
  <c r="R25" i="11"/>
  <c r="S24" i="11"/>
  <c r="R24" i="11"/>
  <c r="S23" i="11"/>
  <c r="R23" i="11"/>
  <c r="S22" i="11"/>
  <c r="R22" i="11"/>
  <c r="S21" i="11"/>
  <c r="R21" i="11"/>
  <c r="S20" i="11"/>
  <c r="R20" i="11"/>
  <c r="S19" i="11"/>
  <c r="R19" i="11"/>
  <c r="S18" i="11"/>
  <c r="R18" i="11"/>
  <c r="S17" i="11"/>
  <c r="R17" i="11"/>
  <c r="S16" i="11"/>
  <c r="R16" i="11"/>
  <c r="S15" i="11"/>
  <c r="R15" i="11"/>
  <c r="S14" i="11"/>
  <c r="R14" i="11"/>
  <c r="S13" i="11"/>
  <c r="R13" i="11"/>
  <c r="S12" i="11"/>
  <c r="R12" i="11"/>
  <c r="S11" i="11"/>
  <c r="R11" i="11"/>
  <c r="S10" i="11"/>
  <c r="R10" i="11"/>
  <c r="S9" i="11"/>
  <c r="R9" i="11"/>
  <c r="S8" i="11"/>
  <c r="R8" i="11"/>
  <c r="S7" i="11"/>
  <c r="R7" i="11"/>
  <c r="S6" i="11"/>
  <c r="R6" i="11"/>
  <c r="S5" i="11"/>
  <c r="R5" i="11"/>
  <c r="N105" i="9" l="1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100" i="10"/>
  <c r="N101" i="10"/>
  <c r="N102" i="10"/>
  <c r="N103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N124" i="10"/>
  <c r="N125" i="10"/>
  <c r="N126" i="10"/>
  <c r="N127" i="10"/>
  <c r="N128" i="10"/>
  <c r="N129" i="10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145" i="10"/>
  <c r="N146" i="10"/>
  <c r="N147" i="10"/>
  <c r="N148" i="10"/>
  <c r="N149" i="10"/>
  <c r="N150" i="10"/>
  <c r="N151" i="10"/>
  <c r="N152" i="10"/>
  <c r="N153" i="10"/>
  <c r="N154" i="10"/>
  <c r="N155" i="10"/>
  <c r="N156" i="10"/>
  <c r="N157" i="10"/>
  <c r="N158" i="10"/>
  <c r="N159" i="10"/>
  <c r="N160" i="10"/>
  <c r="N161" i="10"/>
  <c r="N162" i="10"/>
  <c r="N163" i="10"/>
  <c r="N164" i="10"/>
  <c r="N165" i="10"/>
  <c r="N166" i="10"/>
  <c r="N167" i="10"/>
  <c r="N168" i="10"/>
  <c r="N169" i="10"/>
  <c r="N170" i="10"/>
  <c r="N171" i="10"/>
  <c r="N172" i="10"/>
  <c r="N173" i="10"/>
  <c r="N174" i="10"/>
  <c r="N175" i="10"/>
  <c r="N176" i="10"/>
  <c r="N177" i="10"/>
  <c r="N178" i="10"/>
  <c r="N179" i="10"/>
  <c r="N180" i="10"/>
  <c r="N181" i="10"/>
  <c r="N182" i="10"/>
  <c r="N183" i="10"/>
  <c r="N184" i="10"/>
  <c r="N185" i="10"/>
  <c r="N186" i="10"/>
  <c r="N187" i="10"/>
  <c r="N188" i="10"/>
  <c r="N189" i="10"/>
  <c r="N190" i="10"/>
  <c r="N191" i="10"/>
  <c r="N192" i="10"/>
  <c r="N193" i="10"/>
  <c r="N194" i="10"/>
  <c r="N195" i="10"/>
  <c r="N196" i="10"/>
  <c r="N197" i="10"/>
  <c r="N198" i="10"/>
  <c r="N199" i="10"/>
  <c r="N200" i="10"/>
  <c r="N201" i="10"/>
  <c r="N202" i="10"/>
  <c r="N203" i="10"/>
  <c r="N204" i="10"/>
  <c r="N205" i="10"/>
  <c r="N206" i="10"/>
  <c r="N207" i="10"/>
  <c r="N208" i="10"/>
  <c r="N209" i="10"/>
  <c r="N210" i="10"/>
  <c r="N211" i="10"/>
  <c r="N212" i="10"/>
  <c r="N213" i="10"/>
  <c r="N214" i="10"/>
  <c r="N215" i="10"/>
  <c r="N216" i="10"/>
  <c r="N217" i="10"/>
  <c r="N218" i="10"/>
  <c r="N219" i="10"/>
  <c r="N220" i="10"/>
  <c r="N221" i="10"/>
  <c r="N222" i="10"/>
  <c r="N223" i="10"/>
  <c r="N224" i="10"/>
  <c r="N225" i="10"/>
  <c r="N226" i="10"/>
  <c r="N227" i="10"/>
  <c r="N228" i="10"/>
  <c r="N229" i="10"/>
  <c r="N230" i="10"/>
  <c r="N231" i="10"/>
  <c r="N232" i="10"/>
  <c r="N233" i="10"/>
  <c r="N234" i="10"/>
  <c r="N235" i="10"/>
  <c r="N236" i="10"/>
  <c r="N237" i="10"/>
  <c r="N238" i="10"/>
  <c r="N239" i="10"/>
  <c r="N240" i="10"/>
  <c r="N241" i="10"/>
  <c r="N242" i="10"/>
  <c r="N243" i="10"/>
  <c r="N244" i="10"/>
  <c r="N245" i="10"/>
  <c r="N246" i="10"/>
  <c r="N247" i="10"/>
  <c r="N248" i="10"/>
  <c r="N249" i="10"/>
  <c r="N250" i="10"/>
  <c r="N251" i="10"/>
  <c r="N252" i="10"/>
  <c r="N253" i="10"/>
  <c r="N254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5" i="10"/>
  <c r="O104" i="10"/>
  <c r="O103" i="10"/>
  <c r="O102" i="10"/>
  <c r="O101" i="10"/>
  <c r="O100" i="10"/>
  <c r="O99" i="10"/>
  <c r="O98" i="10"/>
  <c r="O97" i="10"/>
  <c r="O96" i="10"/>
  <c r="O95" i="10"/>
  <c r="O94" i="10"/>
  <c r="O93" i="10"/>
  <c r="O92" i="10"/>
  <c r="O91" i="10"/>
  <c r="O90" i="10"/>
  <c r="O89" i="10"/>
  <c r="O88" i="10"/>
  <c r="O87" i="10"/>
  <c r="O86" i="10"/>
  <c r="O85" i="10"/>
  <c r="O84" i="10"/>
  <c r="O83" i="10"/>
  <c r="O82" i="10"/>
  <c r="O81" i="10"/>
  <c r="O80" i="10"/>
  <c r="O79" i="10"/>
  <c r="O78" i="10"/>
  <c r="O77" i="10"/>
  <c r="O76" i="10"/>
  <c r="O75" i="10"/>
  <c r="O74" i="10"/>
  <c r="O73" i="10"/>
  <c r="O72" i="10"/>
  <c r="O71" i="10"/>
  <c r="O70" i="10"/>
  <c r="O69" i="10"/>
  <c r="O68" i="10"/>
  <c r="O67" i="10"/>
  <c r="O66" i="10"/>
  <c r="O65" i="10"/>
  <c r="O64" i="10"/>
  <c r="O63" i="10"/>
  <c r="O62" i="10"/>
  <c r="O61" i="10"/>
  <c r="O60" i="10"/>
  <c r="O59" i="10"/>
  <c r="O58" i="10"/>
  <c r="O57" i="10"/>
  <c r="O56" i="10"/>
  <c r="O55" i="10"/>
  <c r="V54" i="10"/>
  <c r="O54" i="10"/>
  <c r="V53" i="10"/>
  <c r="O53" i="10"/>
  <c r="V52" i="10"/>
  <c r="O52" i="10"/>
  <c r="V51" i="10"/>
  <c r="O51" i="10"/>
  <c r="V50" i="10"/>
  <c r="O50" i="10"/>
  <c r="V49" i="10"/>
  <c r="O49" i="10"/>
  <c r="V48" i="10"/>
  <c r="O48" i="10"/>
  <c r="V47" i="10"/>
  <c r="O47" i="10"/>
  <c r="V46" i="10"/>
  <c r="O46" i="10"/>
  <c r="V45" i="10"/>
  <c r="O45" i="10"/>
  <c r="V44" i="10"/>
  <c r="O44" i="10"/>
  <c r="V43" i="10"/>
  <c r="O43" i="10"/>
  <c r="V42" i="10"/>
  <c r="O42" i="10"/>
  <c r="V41" i="10"/>
  <c r="O41" i="10"/>
  <c r="V40" i="10"/>
  <c r="O40" i="10"/>
  <c r="V39" i="10"/>
  <c r="O39" i="10"/>
  <c r="V38" i="10"/>
  <c r="O38" i="10"/>
  <c r="V37" i="10"/>
  <c r="O37" i="10"/>
  <c r="V36" i="10"/>
  <c r="O36" i="10"/>
  <c r="V35" i="10"/>
  <c r="O35" i="10"/>
  <c r="V34" i="10"/>
  <c r="O34" i="10"/>
  <c r="V33" i="10"/>
  <c r="O33" i="10"/>
  <c r="V32" i="10"/>
  <c r="O32" i="10"/>
  <c r="V31" i="10"/>
  <c r="O31" i="10"/>
  <c r="V30" i="10"/>
  <c r="O30" i="10"/>
  <c r="V29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8" i="10"/>
  <c r="O7" i="10"/>
  <c r="O6" i="10"/>
  <c r="O5" i="10"/>
  <c r="T3" i="10"/>
  <c r="V3" i="10" s="1"/>
  <c r="O1" i="10" l="1"/>
  <c r="U3" i="10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" i="9"/>
  <c r="T3" i="9"/>
  <c r="V3" i="9" s="1"/>
  <c r="U3" i="9" l="1"/>
  <c r="O5" i="9"/>
  <c r="N104" i="9" l="1"/>
  <c r="N103" i="9"/>
  <c r="N102" i="9"/>
  <c r="N101" i="9"/>
  <c r="N100" i="9"/>
  <c r="N99" i="9"/>
  <c r="N98" i="9"/>
  <c r="N97" i="9"/>
  <c r="N96" i="9"/>
  <c r="N95" i="9"/>
  <c r="N94" i="9"/>
  <c r="N93" i="9"/>
  <c r="N92" i="9"/>
  <c r="N91" i="9"/>
  <c r="N90" i="9"/>
  <c r="N89" i="9"/>
  <c r="N88" i="9"/>
  <c r="N87" i="9"/>
  <c r="N86" i="9"/>
  <c r="N85" i="9"/>
  <c r="N84" i="9"/>
  <c r="N83" i="9"/>
  <c r="N82" i="9"/>
  <c r="N81" i="9"/>
  <c r="N80" i="9"/>
  <c r="N79" i="9"/>
  <c r="N78" i="9"/>
  <c r="N77" i="9"/>
  <c r="N76" i="9"/>
  <c r="N75" i="9"/>
  <c r="N74" i="9"/>
  <c r="N73" i="9"/>
  <c r="N72" i="9"/>
  <c r="N71" i="9"/>
  <c r="N70" i="9"/>
  <c r="N69" i="9"/>
  <c r="N68" i="9"/>
  <c r="N67" i="9"/>
  <c r="N66" i="9"/>
  <c r="N65" i="9"/>
  <c r="N64" i="9"/>
  <c r="N63" i="9"/>
  <c r="N62" i="9"/>
  <c r="N61" i="9"/>
  <c r="N60" i="9"/>
  <c r="N59" i="9"/>
  <c r="N58" i="9"/>
  <c r="N57" i="9"/>
  <c r="N56" i="9"/>
  <c r="N55" i="9"/>
  <c r="N54" i="9"/>
  <c r="N53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N32" i="9"/>
  <c r="N31" i="9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N17" i="9"/>
  <c r="N16" i="9"/>
  <c r="N15" i="9"/>
  <c r="N14" i="9"/>
  <c r="N13" i="9"/>
  <c r="N12" i="9"/>
  <c r="N11" i="9"/>
  <c r="N10" i="9"/>
  <c r="N9" i="9"/>
  <c r="N8" i="9"/>
  <c r="N7" i="9"/>
  <c r="N6" i="9"/>
  <c r="N5" i="9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5" i="7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1" i="9" l="1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5" i="7"/>
</calcChain>
</file>

<file path=xl/sharedStrings.xml><?xml version="1.0" encoding="utf-8"?>
<sst xmlns="http://schemas.openxmlformats.org/spreadsheetml/2006/main" count="1542" uniqueCount="642">
  <si>
    <t>-</t>
    <phoneticPr fontId="1" type="noConversion"/>
  </si>
  <si>
    <t>번호</t>
    <phoneticPr fontId="1" type="noConversion"/>
  </si>
  <si>
    <t>분류</t>
    <phoneticPr fontId="1" type="noConversion"/>
  </si>
  <si>
    <t>국문생각</t>
    <phoneticPr fontId="1" type="noConversion"/>
  </si>
  <si>
    <t>영어문장</t>
    <phoneticPr fontId="1" type="noConversion"/>
  </si>
  <si>
    <t>jmc</t>
    <phoneticPr fontId="1" type="noConversion"/>
  </si>
  <si>
    <t>extra</t>
    <phoneticPr fontId="1" type="noConversion"/>
  </si>
  <si>
    <t>제 이름은 조민철이고 현재 대학교 4학년입니다.</t>
    <phoneticPr fontId="1" type="noConversion"/>
  </si>
  <si>
    <t>My name is Cho Min Cheol and I'm currently a senior in college.</t>
    <phoneticPr fontId="1" type="noConversion"/>
  </si>
  <si>
    <t>지난 학기에 11학점을 이수했고 별도로 수업 2개를 청강했습니다.</t>
    <phoneticPr fontId="1" type="noConversion"/>
  </si>
  <si>
    <t>I took 11 credits last semester and audited two extra classes.</t>
    <phoneticPr fontId="1" type="noConversion"/>
  </si>
  <si>
    <t>제가 들은 수업은 대부분 전공 필수 과목이지만, 데이터 과학 관련 과목도 선택과목으로 들었습니다.</t>
    <phoneticPr fontId="1" type="noConversion"/>
  </si>
  <si>
    <t>Most of the classes I have taken are mandatory course for my major, but I also took several electives on data science.</t>
    <phoneticPr fontId="1" type="noConversion"/>
  </si>
  <si>
    <t>-</t>
    <phoneticPr fontId="1" type="noConversion"/>
  </si>
  <si>
    <t>요즘 취업하는 데 영어 실력이 무척 중요하기 때문에</t>
    <phoneticPr fontId="1" type="noConversion"/>
  </si>
  <si>
    <t>as English skills are very important in getting a job these days</t>
    <phoneticPr fontId="1" type="noConversion"/>
  </si>
  <si>
    <t>제 고등학교 때 전공은 일본어입니다.</t>
    <phoneticPr fontId="1" type="noConversion"/>
  </si>
  <si>
    <t>My major back in high school was japanese.</t>
    <phoneticPr fontId="1" type="noConversion"/>
  </si>
  <si>
    <t>My mjaor does not have to do with data science.</t>
    <phoneticPr fontId="1" type="noConversion"/>
  </si>
  <si>
    <t>제 전공은 데이터 과학과 크게 관련이 없습니다.</t>
    <phoneticPr fontId="1" type="noConversion"/>
  </si>
  <si>
    <t>Getting through college in Korea is not that difficult than in America.</t>
    <phoneticPr fontId="1" type="noConversion"/>
  </si>
  <si>
    <t>한국에서 대학교를 마치는 것은 미국처럼 그렇게 어렵지는 않습니다.</t>
    <phoneticPr fontId="1" type="noConversion"/>
  </si>
  <si>
    <t>대학원에 들어가면 교수가 이끄는 프로젝트에 많은 시간을 할애해야 합니다.</t>
    <phoneticPr fontId="1" type="noConversion"/>
  </si>
  <si>
    <t>You have to invest a lot  of your time participating in projects led by your professor.</t>
    <phoneticPr fontId="1" type="noConversion"/>
  </si>
  <si>
    <t>그래도 되돌아보면, 대학 때 열심히 공부한 것이 도움이 많이 되었습니다.</t>
    <phoneticPr fontId="1" type="noConversion"/>
  </si>
  <si>
    <t>Looking back, though, all that hard work in college paid off.</t>
    <phoneticPr fontId="1" type="noConversion"/>
  </si>
  <si>
    <t>발음</t>
    <phoneticPr fontId="1" type="noConversion"/>
  </si>
  <si>
    <t>spelling</t>
    <phoneticPr fontId="1" type="noConversion"/>
  </si>
  <si>
    <t>meaning</t>
    <phoneticPr fontId="1" type="noConversion"/>
  </si>
  <si>
    <t>to attend a course without receiving credit.</t>
    <phoneticPr fontId="1" type="noConversion"/>
  </si>
  <si>
    <t>audit</t>
    <phoneticPr fontId="1" type="noConversion"/>
  </si>
  <si>
    <t>elective</t>
    <phoneticPr fontId="1" type="noConversion"/>
  </si>
  <si>
    <t>a class that is not required</t>
    <phoneticPr fontId="1" type="noConversion"/>
  </si>
  <si>
    <t>저는 영문학과 경영학을 이중 전공하고 있습니다.</t>
    <phoneticPr fontId="1" type="noConversion"/>
  </si>
  <si>
    <t>I have a double major in English literature and business administration.</t>
    <phoneticPr fontId="1" type="noConversion"/>
  </si>
  <si>
    <t>idea: 신상 정보만 입력하면 주제에 맞는 모든 글이 한번에 완성되는 프로그램</t>
    <phoneticPr fontId="1" type="noConversion"/>
  </si>
  <si>
    <t>책과 영어를 좋아해서 영문학과에 들어왔지만</t>
    <phoneticPr fontId="1" type="noConversion"/>
  </si>
  <si>
    <t>의사결정에 도움이 되는 학문인 경영학도 전공하기로 결정했습니다.</t>
    <phoneticPr fontId="1" type="noConversion"/>
  </si>
  <si>
    <t>The most imporessive thing in learning business is Eisenhower's urgent/important matrix.</t>
    <phoneticPr fontId="1" type="noConversion"/>
  </si>
  <si>
    <t>경영학에서 가장 인상 깊었던 것은 긴급성/중요성 매트릭스입니다.</t>
    <phoneticPr fontId="1" type="noConversion"/>
  </si>
  <si>
    <t>tag1</t>
    <phoneticPr fontId="1" type="noConversion"/>
  </si>
  <si>
    <t>tag2</t>
    <phoneticPr fontId="1" type="noConversion"/>
  </si>
  <si>
    <t>tag3</t>
    <phoneticPr fontId="1" type="noConversion"/>
  </si>
  <si>
    <t>I was an literature major when I started out because I love reading books,</t>
    <phoneticPr fontId="1" type="noConversion"/>
  </si>
  <si>
    <t>but I thought it would be also helpful for making decisions if I had some knowledge in business.</t>
    <phoneticPr fontId="1" type="noConversion"/>
  </si>
  <si>
    <t>그때부터는 매트릭스를 사용하고 있고 정말 도움이 됩니다.</t>
    <phoneticPr fontId="1" type="noConversion"/>
  </si>
  <si>
    <t>Since then, I always use the principle and it really works.</t>
    <phoneticPr fontId="1" type="noConversion"/>
  </si>
  <si>
    <t>되돌아보면 최선이 아닌 결정이 많았습니다. 10살 때 멋져보이기 위해 안경을 썼던 것처럼요. 지금은 안경 없이 살 수 없습니다.</t>
    <phoneticPr fontId="1" type="noConversion"/>
  </si>
  <si>
    <t xml:space="preserve">Looking back, I have made some bad decisions like, when I was ten, I really want to wear glasses to look nice and now I cannot live a single day without it. </t>
    <phoneticPr fontId="1" type="noConversion"/>
  </si>
  <si>
    <t>Most of the classes I have taken are mandatory courses for my major, but I also took several electives on data science.</t>
    <phoneticPr fontId="1" type="noConversion"/>
  </si>
  <si>
    <t>My major does not have to do with data science.</t>
    <phoneticPr fontId="1" type="noConversion"/>
  </si>
  <si>
    <t>Getting through college in Korea is not more difficult than in America.</t>
    <phoneticPr fontId="1" type="noConversion"/>
  </si>
  <si>
    <t>Once you are in graduate school, you have to invest a lot of your time participating in projects led by your professor.</t>
    <phoneticPr fontId="1" type="noConversion"/>
  </si>
  <si>
    <t>처음에는 문학도였지만,</t>
    <phoneticPr fontId="1" type="noConversion"/>
  </si>
  <si>
    <t>I was a literature major when I started out,</t>
    <phoneticPr fontId="1" type="noConversion"/>
  </si>
  <si>
    <t>그러나 의사결정에 도움이 되는 학문인 경영학 또한 전공하기로 결정했습니다.</t>
    <phoneticPr fontId="1" type="noConversion"/>
  </si>
  <si>
    <t>경영학에서 가장 인상 깊었던 것은 아이젠하워의 긴급성/중요성 매트릭스입니다.</t>
    <phoneticPr fontId="1" type="noConversion"/>
  </si>
  <si>
    <t>Looking back, I have made some bad decisions like, when I was ten, I really wanted to wear glasses to look nice, without which I cannot live a single day.</t>
    <phoneticPr fontId="1" type="noConversion"/>
  </si>
  <si>
    <t>jmc</t>
    <phoneticPr fontId="1" type="noConversion"/>
  </si>
  <si>
    <t>The reason I chose English literature as my major is for stress reduction.</t>
    <phoneticPr fontId="1" type="noConversion"/>
  </si>
  <si>
    <t>영문학을 선택한 이유는 스트레소를 해소하기 위해서였습니다.</t>
    <phoneticPr fontId="1" type="noConversion"/>
  </si>
  <si>
    <t>No matter how much stress you have at work, in your personal relationships, or countless other issues faced in daily life, it all just slips away when you lose yourself in a great story.</t>
    <phoneticPr fontId="1" type="noConversion"/>
  </si>
  <si>
    <t>직장에서, 대인관계에서, 일상에서 겪게 되는 아무리 힘든 일이 있어도, 위대한 이야기를 읽으면 그것에 푹 빠지게 되기 때문이죠.</t>
    <phoneticPr fontId="1" type="noConversion"/>
  </si>
  <si>
    <t>전공을 결정하는 시기에 저는 인생에서 힘든 기로에 있었는데 그때뿐 아니라 앞으로 살아가는데 있어서 큰 도움이 될거라고 생각했어요.</t>
    <phoneticPr fontId="1" type="noConversion"/>
  </si>
  <si>
    <t>I was going through a tough time, and I was convinced that majoring in literature would be a great help for my life.</t>
    <phoneticPr fontId="1" type="noConversion"/>
  </si>
  <si>
    <t>extra</t>
    <phoneticPr fontId="1" type="noConversion"/>
  </si>
  <si>
    <t>이번 학기에 몇 학점 듣냐?</t>
    <phoneticPr fontId="1" type="noConversion"/>
  </si>
  <si>
    <t>How many credits are you taking this semester?</t>
    <phoneticPr fontId="1" type="noConversion"/>
  </si>
  <si>
    <t>소개01</t>
    <phoneticPr fontId="1" type="noConversion"/>
  </si>
  <si>
    <t>전공소개</t>
    <phoneticPr fontId="1" type="noConversion"/>
  </si>
  <si>
    <t>전공소개</t>
    <phoneticPr fontId="1" type="noConversion"/>
  </si>
  <si>
    <t>대학교 2학년 때 연극 동아리에 가입했습니다.</t>
    <phoneticPr fontId="1" type="noConversion"/>
  </si>
  <si>
    <t>소개02</t>
    <phoneticPr fontId="1" type="noConversion"/>
  </si>
  <si>
    <t>동아리소개</t>
    <phoneticPr fontId="1" type="noConversion"/>
  </si>
  <si>
    <t>학기마다 우리는 캠퍼스에서 연극 공연을 했습니다.</t>
    <phoneticPr fontId="1" type="noConversion"/>
  </si>
  <si>
    <t>Every semester, we performed a play on campus.</t>
    <phoneticPr fontId="1" type="noConversion"/>
  </si>
  <si>
    <t>함께 연극을 하는 것은 결코 쉬운 일이 아니어서 팀워크가 정말 중요했습니다.</t>
    <phoneticPr fontId="1" type="noConversion"/>
  </si>
  <si>
    <t>Putting together a play was no easy task, so teamwork was really important.</t>
    <phoneticPr fontId="1" type="noConversion"/>
  </si>
  <si>
    <t>저는 제 자신에 대해 많이 배웠으며, 우리 모두가 연극 연습을 하며 정말 친해졌습니다.</t>
    <phoneticPr fontId="1" type="noConversion"/>
  </si>
  <si>
    <t>I learned a lot about myself, and we all really became tight while rehearsing for plays.</t>
    <phoneticPr fontId="1" type="noConversion"/>
  </si>
  <si>
    <t>연극 동아리 활동 덕분에 저는 더욱 자신감 있는 사람이 되었습니다.</t>
    <phoneticPr fontId="1" type="noConversion"/>
  </si>
  <si>
    <t>My involvement in the drama club helped me become a more confident person.</t>
    <phoneticPr fontId="1" type="noConversion"/>
  </si>
  <si>
    <t>When I became a sophomore, I joined a drama club.</t>
    <phoneticPr fontId="1" type="noConversion"/>
  </si>
  <si>
    <t>대학 동아리 활동 경험은 매우 값진 것이었으며 제 대학 생활에서 없어서는 안 될 부분이었습니다.</t>
    <phoneticPr fontId="1" type="noConversion"/>
  </si>
  <si>
    <t>정답률</t>
    <phoneticPr fontId="1" type="noConversion"/>
  </si>
  <si>
    <t>The most impressive thing in learning business is Eisenhower's urgent/important matrix.</t>
    <phoneticPr fontId="1" type="noConversion"/>
  </si>
  <si>
    <t>My university club experiences were priceless and an indispensable part of my college life.</t>
    <phoneticPr fontId="1" type="noConversion"/>
  </si>
  <si>
    <t>-</t>
    <phoneticPr fontId="1" type="noConversion"/>
  </si>
  <si>
    <t>about me</t>
    <phoneticPr fontId="1" type="noConversion"/>
  </si>
  <si>
    <t>general</t>
    <phoneticPr fontId="1" type="noConversion"/>
  </si>
  <si>
    <t>시험기간(중간, 기말)에는 도서관이 사람으로 꽉 찬다.</t>
    <phoneticPr fontId="1" type="noConversion"/>
  </si>
  <si>
    <t>During midterms and finals, the library is packed with people.</t>
    <phoneticPr fontId="1" type="noConversion"/>
  </si>
  <si>
    <t>도서관</t>
    <phoneticPr fontId="1" type="noConversion"/>
  </si>
  <si>
    <t>상황01</t>
    <phoneticPr fontId="1" type="noConversion"/>
  </si>
  <si>
    <t>Getting a good seat gets quite competitive.</t>
    <phoneticPr fontId="1" type="noConversion"/>
  </si>
  <si>
    <t>좋은 자리잡는 게 굉장히 어렵다.</t>
    <phoneticPr fontId="1" type="noConversion"/>
  </si>
  <si>
    <t>커피 파는 자판기가 여러 대 있다.</t>
    <phoneticPr fontId="1" type="noConversion"/>
  </si>
  <si>
    <t>There are several vending machines that sell instant coffee.</t>
    <phoneticPr fontId="1" type="noConversion"/>
  </si>
  <si>
    <t>책을 찾으려면 디지털 검색 시스템을 이용하면 된다.</t>
    <phoneticPr fontId="1" type="noConversion"/>
  </si>
  <si>
    <t>You can locate a book using the digital search engine system.</t>
    <phoneticPr fontId="1" type="noConversion"/>
  </si>
  <si>
    <t>이 책 대출하려면 뭐가 필요한가요?</t>
    <phoneticPr fontId="1" type="noConversion"/>
  </si>
  <si>
    <t>What do I need to do to check out this book?</t>
    <phoneticPr fontId="1" type="noConversion"/>
  </si>
  <si>
    <t>도서관에서 자료를 대출하려면 본인의 학생증을 제시해야 한다.</t>
    <phoneticPr fontId="1" type="noConversion"/>
  </si>
  <si>
    <t>Students need to present their student ID card in order to check out any materials from the library.</t>
    <phoneticPr fontId="1" type="noConversion"/>
  </si>
  <si>
    <t>책 얼마나 오랫동안 대출할 수 있나요?</t>
    <phoneticPr fontId="1" type="noConversion"/>
  </si>
  <si>
    <t>How long can I check a book out for?</t>
    <phoneticPr fontId="1" type="noConversion"/>
  </si>
  <si>
    <t>2주간 책을 대출할 수 있다.</t>
    <phoneticPr fontId="1" type="noConversion"/>
  </si>
  <si>
    <t>Books can be checked out for a two-week period.</t>
    <phoneticPr fontId="1" type="noConversion"/>
  </si>
  <si>
    <t>2주보다 더 오래 대출하려면요?</t>
    <phoneticPr fontId="1" type="noConversion"/>
  </si>
  <si>
    <t>What if I need the book for a longer period of time?</t>
    <phoneticPr fontId="1" type="noConversion"/>
  </si>
  <si>
    <t>컴퓨터나 애플리케이션으로 로그인하면 연장 1회가 가능합니다.</t>
    <phoneticPr fontId="1" type="noConversion"/>
  </si>
  <si>
    <t>If you access the library web site or application and log in, you can extend it once.</t>
    <phoneticPr fontId="1" type="noConversion"/>
  </si>
  <si>
    <t>책 반납이 늦었어요. 벌금을 내야 하나요?</t>
    <phoneticPr fontId="1" type="noConversion"/>
  </si>
  <si>
    <t>I am returning this book late. Do I have to pay anything?</t>
    <phoneticPr fontId="1" type="noConversion"/>
  </si>
  <si>
    <t>연체료를 내야 해요.</t>
    <phoneticPr fontId="1" type="noConversion"/>
  </si>
  <si>
    <t>You have to pay the charge for overdue books.</t>
    <phoneticPr fontId="1" type="noConversion"/>
  </si>
  <si>
    <t>네 책은 반납기일이 2일 지났다.</t>
    <phoneticPr fontId="1" type="noConversion"/>
  </si>
  <si>
    <t>Your book is two days overdue.</t>
    <phoneticPr fontId="1" type="noConversion"/>
  </si>
  <si>
    <t>연체료는 하루에 백원이므로, 2백원을 내야 한다.</t>
    <phoneticPr fontId="1" type="noConversion"/>
  </si>
  <si>
    <t>The fine is 100 won per day, so you must pay 200 won.</t>
    <phoneticPr fontId="1" type="noConversion"/>
  </si>
  <si>
    <t>도서관 이곳저곳을 다 찾아봤는데도 책을 찾을 수가 없어요. 어떻게 된거죠?</t>
    <phoneticPr fontId="1" type="noConversion"/>
  </si>
  <si>
    <t>I've looked everywhere, but I can't find my book. What happens now?</t>
    <phoneticPr fontId="1" type="noConversion"/>
  </si>
  <si>
    <t>extra</t>
    <phoneticPr fontId="1" type="noConversion"/>
  </si>
  <si>
    <t>책 이름을 말씀해주세요.</t>
    <phoneticPr fontId="1" type="noConversion"/>
  </si>
  <si>
    <t>Please tell me the book title.</t>
    <phoneticPr fontId="1" type="noConversion"/>
  </si>
  <si>
    <t>extra</t>
    <phoneticPr fontId="1" type="noConversion"/>
  </si>
  <si>
    <t>최종 반납일이 언제죠?</t>
    <phoneticPr fontId="1" type="noConversion"/>
  </si>
  <si>
    <t>When is the deadline for returning books?</t>
    <phoneticPr fontId="1" type="noConversion"/>
  </si>
  <si>
    <t>언제 이 책을 반납해야 하나요?</t>
    <phoneticPr fontId="1" type="noConversion"/>
  </si>
  <si>
    <t>When should I return this book?</t>
    <phoneticPr fontId="1" type="noConversion"/>
  </si>
  <si>
    <t>상황</t>
    <phoneticPr fontId="1" type="noConversion"/>
  </si>
  <si>
    <t>지켜야 할 규칙을 설명할 때</t>
    <phoneticPr fontId="1" type="noConversion"/>
  </si>
  <si>
    <t>패턴</t>
    <phoneticPr fontId="1" type="noConversion"/>
  </si>
  <si>
    <t>You're supposed to</t>
    <phoneticPr fontId="1" type="noConversion"/>
  </si>
  <si>
    <t>매일 늦어도 8시까지는 여기에 와 있어야 해.</t>
    <phoneticPr fontId="1" type="noConversion"/>
  </si>
  <si>
    <t>pat</t>
    <phoneticPr fontId="1" type="noConversion"/>
  </si>
  <si>
    <t>sit</t>
    <phoneticPr fontId="1" type="noConversion"/>
  </si>
  <si>
    <t>You're supposed to be here by at least eight everyday.</t>
    <phoneticPr fontId="1" type="noConversion"/>
  </si>
  <si>
    <t>O</t>
    <phoneticPr fontId="1" type="noConversion"/>
  </si>
  <si>
    <t>X</t>
    <phoneticPr fontId="1" type="noConversion"/>
  </si>
  <si>
    <t>try</t>
    <phoneticPr fontId="1" type="noConversion"/>
  </si>
  <si>
    <r>
      <t>p</t>
    </r>
    <r>
      <rPr>
        <sz val="11"/>
        <color theme="1"/>
        <rFont val="맑은 고딕"/>
        <family val="3"/>
        <charset val="129"/>
        <scheme val="minor"/>
      </rPr>
      <t>at</t>
    </r>
    <phoneticPr fontId="1" type="noConversion"/>
  </si>
  <si>
    <r>
      <t>p</t>
    </r>
    <r>
      <rPr>
        <sz val="11"/>
        <color theme="1"/>
        <rFont val="맑은 고딕"/>
        <family val="3"/>
        <charset val="129"/>
        <scheme val="minor"/>
      </rPr>
      <t>attern collection</t>
    </r>
    <phoneticPr fontId="1" type="noConversion"/>
  </si>
  <si>
    <r>
      <t>s</t>
    </r>
    <r>
      <rPr>
        <sz val="11"/>
        <color theme="1"/>
        <rFont val="맑은 고딕"/>
        <family val="3"/>
        <charset val="129"/>
        <scheme val="minor"/>
      </rPr>
      <t>it</t>
    </r>
    <phoneticPr fontId="1" type="noConversion"/>
  </si>
  <si>
    <r>
      <t>r</t>
    </r>
    <r>
      <rPr>
        <sz val="11"/>
        <color theme="1"/>
        <rFont val="맑은 고딕"/>
        <family val="3"/>
        <charset val="129"/>
        <scheme val="minor"/>
      </rPr>
      <t>eal situation</t>
    </r>
    <phoneticPr fontId="1" type="noConversion"/>
  </si>
  <si>
    <t>엄격한 준수 사항을 설명할 때</t>
    <phoneticPr fontId="1" type="noConversion"/>
  </si>
  <si>
    <t>오후 2시까지 부사장님실로 보고하도록 되어 있어.</t>
    <phoneticPr fontId="1" type="noConversion"/>
  </si>
  <si>
    <t>You're supposed to report to the vice president's office by 2 p.m.</t>
    <phoneticPr fontId="1" type="noConversion"/>
  </si>
  <si>
    <t>상식을 설명할 때</t>
    <phoneticPr fontId="1" type="noConversion"/>
  </si>
  <si>
    <t>그 잔은 백포도주가 아니라 적포도주를 마실 때 써야 하는 거야.</t>
    <phoneticPr fontId="1" type="noConversion"/>
  </si>
  <si>
    <t>You're supposed to use that glass for red wine, not white.</t>
    <phoneticPr fontId="1" type="noConversion"/>
  </si>
  <si>
    <t>야, 너 회사에 있어야 하잖아?</t>
    <phoneticPr fontId="1" type="noConversion"/>
  </si>
  <si>
    <t>Hey, you're supposed to be at work?</t>
    <phoneticPr fontId="1" type="noConversion"/>
  </si>
  <si>
    <t>You're not supposed to drink alcohol, are you?</t>
    <phoneticPr fontId="1" type="noConversion"/>
  </si>
  <si>
    <t>너 술 마시면 안 되는 거 아니야, 그렇지?</t>
    <phoneticPr fontId="1" type="noConversion"/>
  </si>
  <si>
    <t>You're not supposed to be in this class, are you?</t>
    <phoneticPr fontId="1" type="noConversion"/>
  </si>
  <si>
    <t>(대리출석으로 온 친구 보고) 너 원래 이 수업 안 듣잖아, 그치?</t>
    <phoneticPr fontId="1" type="noConversion"/>
  </si>
  <si>
    <t>We're not supposed to step in the grass.</t>
    <phoneticPr fontId="1" type="noConversion"/>
  </si>
  <si>
    <t>우리는 잔디 안에 들어가면 안 되게 되어 있어.</t>
    <phoneticPr fontId="1" type="noConversion"/>
  </si>
  <si>
    <t>오늘밤 8시까지 오기로 되어 있는 것 잊지마(기억해).</t>
    <phoneticPr fontId="1" type="noConversion"/>
  </si>
  <si>
    <t>unit01</t>
    <phoneticPr fontId="1" type="noConversion"/>
  </si>
  <si>
    <t>이보영패턴120응용</t>
    <phoneticPr fontId="1" type="noConversion"/>
  </si>
  <si>
    <t>난수</t>
    <phoneticPr fontId="1" type="noConversion"/>
  </si>
  <si>
    <t>Remember, you're supposed to come by eight tonight.</t>
    <phoneticPr fontId="1" type="noConversion"/>
  </si>
  <si>
    <t>pat</t>
    <phoneticPr fontId="1" type="noConversion"/>
  </si>
  <si>
    <t>상대방에게 의문을 제기할 때</t>
    <phoneticPr fontId="1" type="noConversion"/>
  </si>
  <si>
    <t>Why do you</t>
    <phoneticPr fontId="1" type="noConversion"/>
  </si>
  <si>
    <t>unit02</t>
    <phoneticPr fontId="1" type="noConversion"/>
  </si>
  <si>
    <t>sit</t>
    <phoneticPr fontId="1" type="noConversion"/>
  </si>
  <si>
    <t>왜 불가능하다고 생각해?</t>
    <phoneticPr fontId="1" type="noConversion"/>
  </si>
  <si>
    <t>Why do you think it's impossible?</t>
    <phoneticPr fontId="1" type="noConversion"/>
  </si>
  <si>
    <t>jmc</t>
    <phoneticPr fontId="1" type="noConversion"/>
  </si>
  <si>
    <t>내가 대체 왜 그러겠어요?</t>
    <phoneticPr fontId="1" type="noConversion"/>
  </si>
  <si>
    <t>Why would I do that?</t>
    <phoneticPr fontId="1" type="noConversion"/>
  </si>
  <si>
    <t>jmc</t>
    <phoneticPr fontId="1" type="noConversion"/>
  </si>
  <si>
    <t>새로 생긴 중국음식점에서 점심 먹자.</t>
    <phoneticPr fontId="1" type="noConversion"/>
  </si>
  <si>
    <t>pat</t>
    <phoneticPr fontId="1" type="noConversion"/>
  </si>
  <si>
    <t>거리, 시간 등에 비해 '너무 ~해서 못하겠다'고 할 때</t>
    <phoneticPr fontId="1" type="noConversion"/>
  </si>
  <si>
    <t>too to</t>
    <phoneticPr fontId="1" type="noConversion"/>
  </si>
  <si>
    <t>좋아, 하지만 거기까지 걸어가기엔 너무 멀어. 내가 운전할게.</t>
    <phoneticPr fontId="1" type="noConversion"/>
  </si>
  <si>
    <t>OK, but that is too far to walk, I'll drive.</t>
    <phoneticPr fontId="1" type="noConversion"/>
  </si>
  <si>
    <t>unit03</t>
    <phoneticPr fontId="1" type="noConversion"/>
  </si>
  <si>
    <t>너무 피곤해서 전화 받지 못했어.</t>
    <phoneticPr fontId="1" type="noConversion"/>
  </si>
  <si>
    <t>I was too tired to answer the phone.</t>
    <phoneticPr fontId="1" type="noConversion"/>
  </si>
  <si>
    <t>너무 ~해서 못했다'고 할 때</t>
    <phoneticPr fontId="1" type="noConversion"/>
  </si>
  <si>
    <t>too to</t>
    <phoneticPr fontId="1" type="noConversion"/>
  </si>
  <si>
    <t>어떤 상황에 대해 '너무 ~해서 못한다'고 할 때</t>
    <phoneticPr fontId="1" type="noConversion"/>
  </si>
  <si>
    <t>너는 너무 어려서 이 영화 보면 안 돼.</t>
    <phoneticPr fontId="1" type="noConversion"/>
  </si>
  <si>
    <t>You're too young to watch this movie.</t>
    <phoneticPr fontId="1" type="noConversion"/>
  </si>
  <si>
    <t>난 그때 너무 어려서 그 상황을 이해하지 못했어.</t>
    <phoneticPr fontId="1" type="noConversion"/>
  </si>
  <si>
    <t>I was too young to understand the situation.</t>
    <phoneticPr fontId="1" type="noConversion"/>
  </si>
  <si>
    <t>너무 사람이 많아서 자리 잡지 못했어.</t>
    <phoneticPr fontId="1" type="noConversion"/>
  </si>
  <si>
    <t>It was too crowded to take a seat.</t>
    <phoneticPr fontId="1" type="noConversion"/>
  </si>
  <si>
    <t>너무 배불러서 후식 못 먹겠다.</t>
    <phoneticPr fontId="1" type="noConversion"/>
  </si>
  <si>
    <t>I'm too full to eat the dessert.</t>
    <phoneticPr fontId="1" type="noConversion"/>
  </si>
  <si>
    <t>I can't even</t>
    <phoneticPr fontId="1" type="noConversion"/>
  </si>
  <si>
    <t>I'm so busy these days. I can't even eat a proper meal.</t>
    <phoneticPr fontId="1" type="noConversion"/>
  </si>
  <si>
    <t>unit04</t>
    <phoneticPr fontId="1" type="noConversion"/>
  </si>
  <si>
    <t>도저히 하기 힘든 경우'에 대해 말할 때</t>
    <phoneticPr fontId="1" type="noConversion"/>
  </si>
  <si>
    <t>I can't even imagine him singing and dancing.</t>
    <phoneticPr fontId="1" type="noConversion"/>
  </si>
  <si>
    <t>그 여자는 어찌나 긴장했던지 말도 못하더라고요.</t>
    <phoneticPr fontId="1" type="noConversion"/>
  </si>
  <si>
    <t>She was so nervous, she couldn't even speak.</t>
    <phoneticPr fontId="1" type="noConversion"/>
  </si>
  <si>
    <t>sit</t>
    <phoneticPr fontId="1" type="noConversion"/>
  </si>
  <si>
    <t>난 어찌나 흥분이 되던지 잠을 전혀 못 잤어요.</t>
    <phoneticPr fontId="1" type="noConversion"/>
  </si>
  <si>
    <t>I was so excited, I couldn't even sleep at all.</t>
    <phoneticPr fontId="1" type="noConversion"/>
  </si>
  <si>
    <t>목이 얼마나 부었는지, 아무것도 못 삼키겠어.</t>
    <phoneticPr fontId="1" type="noConversion"/>
  </si>
  <si>
    <t>My throat is so sore, I can't even swallow anything.</t>
    <phoneticPr fontId="1" type="noConversion"/>
  </si>
  <si>
    <t>It's so noisy, I can't even concentrate for 5 minutes.</t>
    <phoneticPr fontId="1" type="noConversion"/>
  </si>
  <si>
    <t>하도 시끄러워서, 5분도 집중을 못하겠다. (숫자 아라비아)</t>
    <phoneticPr fontId="1" type="noConversion"/>
  </si>
  <si>
    <t>Let's get lunch at the new Chinese place.</t>
    <phoneticPr fontId="1" type="noConversion"/>
  </si>
  <si>
    <t>pat</t>
    <phoneticPr fontId="1" type="noConversion"/>
  </si>
  <si>
    <t>어떤 상황에 대해 걱정된다고 할 때</t>
    <phoneticPr fontId="1" type="noConversion"/>
  </si>
  <si>
    <t>I'm worried about</t>
    <phoneticPr fontId="1" type="noConversion"/>
  </si>
  <si>
    <t>unit05</t>
    <phoneticPr fontId="1" type="noConversion"/>
  </si>
  <si>
    <t>sit</t>
    <phoneticPr fontId="1" type="noConversion"/>
  </si>
  <si>
    <t>회사 상황이 정말 걱정된다.</t>
    <phoneticPr fontId="1" type="noConversion"/>
  </si>
  <si>
    <t>I'm really worried about the situation at work.</t>
    <phoneticPr fontId="1" type="noConversion"/>
  </si>
  <si>
    <t>I'm worried that</t>
    <phoneticPr fontId="1" type="noConversion"/>
  </si>
  <si>
    <t>어떤 사건(that절)에 대해 걱정된다고 할 때</t>
    <phoneticPr fontId="1" type="noConversion"/>
  </si>
  <si>
    <t>sit</t>
    <phoneticPr fontId="1" type="noConversion"/>
  </si>
  <si>
    <t>상사가 자기 잘못을 내 탓으로 돌릴까봐 걱정이야.</t>
    <phoneticPr fontId="1" type="noConversion"/>
  </si>
  <si>
    <t>I'm worried that the boss might blame me for his mistakes.</t>
    <phoneticPr fontId="1" type="noConversion"/>
  </si>
  <si>
    <t>어떤 진행(that절)에 대해 걱정된다고 할 때</t>
    <phoneticPr fontId="1" type="noConversion"/>
  </si>
  <si>
    <t>I'm worried that this business trip won't go well.</t>
    <phoneticPr fontId="1" type="noConversion"/>
  </si>
  <si>
    <t>이번 출장이 원활하게 진행되지 않을까봐 걱정이에요.</t>
    <phoneticPr fontId="1" type="noConversion"/>
  </si>
  <si>
    <t>jmc</t>
    <phoneticPr fontId="1" type="noConversion"/>
  </si>
  <si>
    <t>그녀가 오지 않을까봐 걱정이에요.</t>
    <phoneticPr fontId="1" type="noConversion"/>
  </si>
  <si>
    <t>I'm worried that she might not come.</t>
    <phoneticPr fontId="1" type="noConversion"/>
  </si>
  <si>
    <t>비가 올까봐 걱정돼요.</t>
    <phoneticPr fontId="1" type="noConversion"/>
  </si>
  <si>
    <t>I'm worried that it might rain.</t>
    <phoneticPr fontId="1" type="noConversion"/>
  </si>
  <si>
    <t>2시 팀 회의에 참석해야 해요.</t>
    <phoneticPr fontId="1" type="noConversion"/>
  </si>
  <si>
    <t>You're supposed to attend the team meeting at two.</t>
    <phoneticPr fontId="1" type="noConversion"/>
  </si>
  <si>
    <t>너무 바빠서 제 시간에 가지 못하겠어요.</t>
    <phoneticPr fontId="1" type="noConversion"/>
  </si>
  <si>
    <t>I'm too busy to be there on time.</t>
    <phoneticPr fontId="1" type="noConversion"/>
  </si>
  <si>
    <t>전체정답률</t>
    <phoneticPr fontId="1" type="noConversion"/>
  </si>
  <si>
    <t>오늘학습량</t>
    <phoneticPr fontId="1" type="noConversion"/>
  </si>
  <si>
    <t>학습날짜</t>
    <phoneticPr fontId="1" type="noConversion"/>
  </si>
  <si>
    <t>학습량</t>
    <phoneticPr fontId="1" type="noConversion"/>
  </si>
  <si>
    <t>날짜번호</t>
    <phoneticPr fontId="1" type="noConversion"/>
  </si>
  <si>
    <t>오늘날짜</t>
    <phoneticPr fontId="1" type="noConversion"/>
  </si>
  <si>
    <t>로그영역</t>
    <phoneticPr fontId="1" type="noConversion"/>
  </si>
  <si>
    <r>
      <t>D</t>
    </r>
    <r>
      <rPr>
        <sz val="11"/>
        <color theme="0"/>
        <rFont val="맑은 고딕"/>
        <family val="3"/>
        <charset val="129"/>
        <scheme val="minor"/>
      </rPr>
      <t>B영역</t>
    </r>
    <phoneticPr fontId="1" type="noConversion"/>
  </si>
  <si>
    <t>시작날짜</t>
    <phoneticPr fontId="1" type="noConversion"/>
  </si>
  <si>
    <t>누적량</t>
    <phoneticPr fontId="1" type="noConversion"/>
  </si>
  <si>
    <t>pat</t>
    <phoneticPr fontId="1" type="noConversion"/>
  </si>
  <si>
    <t>잠시 외출을 전할 때</t>
    <phoneticPr fontId="1" type="noConversion"/>
  </si>
  <si>
    <t>I'm heading out to</t>
    <phoneticPr fontId="1" type="noConversion"/>
  </si>
  <si>
    <t>sit</t>
    <phoneticPr fontId="1" type="noConversion"/>
  </si>
  <si>
    <t>나 점심 먹으러 나가.</t>
    <phoneticPr fontId="1" type="noConversion"/>
  </si>
  <si>
    <t>I'm heading out to lunch.</t>
    <phoneticPr fontId="1" type="noConversion"/>
  </si>
  <si>
    <t>unit06</t>
    <phoneticPr fontId="1" type="noConversion"/>
  </si>
  <si>
    <t>오는 길에 샌드위치 좀 사다 줘.</t>
    <phoneticPr fontId="1" type="noConversion"/>
  </si>
  <si>
    <t>Grab me a sandwich on your way back.</t>
    <phoneticPr fontId="1" type="noConversion"/>
  </si>
  <si>
    <t>jmc</t>
    <phoneticPr fontId="1" type="noConversion"/>
  </si>
  <si>
    <t>목적지에 대해 말할 때</t>
    <phoneticPr fontId="1" type="noConversion"/>
  </si>
  <si>
    <t>나 이번 주말에 가족들과 바닷가에 가려고.</t>
    <phoneticPr fontId="1" type="noConversion"/>
  </si>
  <si>
    <t>I'm heading out to the beach with my family this weekend.</t>
    <phoneticPr fontId="1" type="noConversion"/>
  </si>
  <si>
    <t>앞으로 할 일에 대해 말할 때</t>
    <phoneticPr fontId="1" type="noConversion"/>
  </si>
  <si>
    <t>I'm heading out to meet the new hires.</t>
    <phoneticPr fontId="1" type="noConversion"/>
  </si>
  <si>
    <t>I'm heading out to</t>
    <phoneticPr fontId="1" type="noConversion"/>
  </si>
  <si>
    <t>신입사원들을 만나러 가는 길이에요.</t>
    <phoneticPr fontId="1" type="noConversion"/>
  </si>
  <si>
    <t>이제 곧 거기 도착할 거야.</t>
    <phoneticPr fontId="1" type="noConversion"/>
  </si>
  <si>
    <t>I'm on my way.</t>
    <phoneticPr fontId="1" type="noConversion"/>
  </si>
  <si>
    <t>그 사람 이제 곧 도착할 겁니다.</t>
    <phoneticPr fontId="1" type="noConversion"/>
  </si>
  <si>
    <t>He's on his way.</t>
    <phoneticPr fontId="1" type="noConversion"/>
  </si>
  <si>
    <t>그들이 이미 떠났대요. 이제 곧 도착할 거예요.</t>
    <phoneticPr fontId="1" type="noConversion"/>
  </si>
  <si>
    <t>친구 결혼식 때문에 광주로 가는 길이야.</t>
    <phoneticPr fontId="1" type="noConversion"/>
  </si>
  <si>
    <t>I'm heading out to Gwangju for a friend's wedding.</t>
    <phoneticPr fontId="1" type="noConversion"/>
  </si>
  <si>
    <t>미용실에 가는 길이에요.</t>
    <phoneticPr fontId="1" type="noConversion"/>
  </si>
  <si>
    <t>I'm heading out to the beauty salon.</t>
    <phoneticPr fontId="1" type="noConversion"/>
  </si>
  <si>
    <t>They already left. They're on their way.</t>
    <phoneticPr fontId="1" type="noConversion"/>
  </si>
  <si>
    <t>난 요즘 너무 바빠. 식사도 제대로 못하고 있어.</t>
    <phoneticPr fontId="1" type="noConversion"/>
  </si>
  <si>
    <t>양해를 구할 때</t>
    <phoneticPr fontId="1" type="noConversion"/>
  </si>
  <si>
    <t>Would you mind</t>
    <phoneticPr fontId="1" type="noConversion"/>
  </si>
  <si>
    <t>내가 컴퓨터 끄는 동안 조금 기다려줄래요?</t>
    <phoneticPr fontId="1" type="noConversion"/>
  </si>
  <si>
    <t>Would you mind waiting while I turn off my computer?</t>
    <phoneticPr fontId="1" type="noConversion"/>
  </si>
  <si>
    <t>unit07</t>
    <phoneticPr fontId="1" type="noConversion"/>
  </si>
  <si>
    <t>정중하게 다른 제안을 할 때</t>
    <phoneticPr fontId="1" type="noConversion"/>
  </si>
  <si>
    <t>우리가 다른 디자인 시안을 선택해도 괜찮나요?</t>
    <phoneticPr fontId="1" type="noConversion"/>
  </si>
  <si>
    <t>Would you mind if we went with a different design?</t>
    <phoneticPr fontId="1" type="noConversion"/>
  </si>
  <si>
    <t>Go right ahead, I'm not too fond of it either.</t>
    <phoneticPr fontId="1" type="noConversion"/>
  </si>
  <si>
    <t>주저 말고 그렇게 하세요, 저도 실은 그 디자인이 별로거든요.</t>
    <phoneticPr fontId="1" type="noConversion"/>
  </si>
  <si>
    <t>정중하게 양해를 구할 때</t>
    <phoneticPr fontId="1" type="noConversion"/>
  </si>
  <si>
    <t>제가 약속이 있어서 그런데, 좀 일찍 떠나도 될까요?</t>
    <phoneticPr fontId="1" type="noConversion"/>
  </si>
  <si>
    <t>I have an appointment, would you mind my leaving early?</t>
    <phoneticPr fontId="1" type="noConversion"/>
  </si>
  <si>
    <t>음, 적어도 프레젠테이션 결과가 나올 때까지는 그냥 계세요.</t>
    <phoneticPr fontId="1" type="noConversion"/>
  </si>
  <si>
    <t>Well, at least stay until the presentation results are out.</t>
    <phoneticPr fontId="1" type="noConversion"/>
  </si>
  <si>
    <t>제가 물어봐도 될지 모르겠는데, 나이가 어떻게 되세요?</t>
    <phoneticPr fontId="1" type="noConversion"/>
  </si>
  <si>
    <t>If you don't mind my asking, how old are you?</t>
    <phoneticPr fontId="1" type="noConversion"/>
  </si>
  <si>
    <t>물어봐도 괜찮을지 모르겠습니다만, 부인은 무슨 일을 하세요?</t>
    <phoneticPr fontId="1" type="noConversion"/>
  </si>
  <si>
    <t>If you don't mind my asking, what does your wife do?</t>
    <phoneticPr fontId="1" type="noConversion"/>
  </si>
  <si>
    <t>여쭤봐도 되는지 모르겠습니다만, 누구와 함께 사세요?</t>
    <phoneticPr fontId="1" type="noConversion"/>
  </si>
  <si>
    <t>If you don't mind my asking, who do you live with?</t>
    <phoneticPr fontId="1" type="noConversion"/>
  </si>
  <si>
    <t>Mind if I ask you something?</t>
    <phoneticPr fontId="1" type="noConversion"/>
  </si>
  <si>
    <t>내가 뭐 좀 물어봐도 될까?</t>
    <phoneticPr fontId="1" type="noConversion"/>
  </si>
  <si>
    <t>그래, 몸 조심해.</t>
    <phoneticPr fontId="1" type="noConversion"/>
  </si>
  <si>
    <t>OK, take care of yourself.</t>
    <phoneticPr fontId="1" type="noConversion"/>
  </si>
  <si>
    <t>감기 걸려서 그런데, 조퇴해도 될까요?</t>
    <phoneticPr fontId="1" type="noConversion"/>
  </si>
  <si>
    <t>I have a flu, would you mind if I leave for the day?</t>
    <phoneticPr fontId="1" type="noConversion"/>
  </si>
  <si>
    <t>pat</t>
    <phoneticPr fontId="1" type="noConversion"/>
  </si>
  <si>
    <t>unit08</t>
    <phoneticPr fontId="1" type="noConversion"/>
  </si>
  <si>
    <t>sit</t>
    <phoneticPr fontId="1" type="noConversion"/>
  </si>
  <si>
    <t>만약 우리가 거기 도착했을 때 음악회가 끝나면 어쩌지?</t>
    <phoneticPr fontId="1" type="noConversion"/>
  </si>
  <si>
    <t>What if the concert is over by the time we get there?</t>
    <phoneticPr fontId="1" type="noConversion"/>
  </si>
  <si>
    <t>jmc</t>
    <phoneticPr fontId="1" type="noConversion"/>
  </si>
  <si>
    <t>Don't worry, traffic is clearing up.</t>
    <phoneticPr fontId="1" type="noConversion"/>
  </si>
  <si>
    <t>걱정마, 교통 체증이 풀리고 있어.</t>
    <phoneticPr fontId="1" type="noConversion"/>
  </si>
  <si>
    <t>그러다 아니면?</t>
    <phoneticPr fontId="1" type="noConversion"/>
  </si>
  <si>
    <t>But what if?</t>
    <phoneticPr fontId="1" type="noConversion"/>
  </si>
  <si>
    <t>sit</t>
    <phoneticPr fontId="1" type="noConversion"/>
  </si>
  <si>
    <t>jmc</t>
    <phoneticPr fontId="1" type="noConversion"/>
  </si>
  <si>
    <t>What if</t>
    <phoneticPr fontId="1" type="noConversion"/>
  </si>
  <si>
    <t>만약 ~라면 어쩌죠</t>
    <phoneticPr fontId="1" type="noConversion"/>
  </si>
  <si>
    <t>Sorry, no ifs, ands, or buts.</t>
    <phoneticPr fontId="1" type="noConversion"/>
  </si>
  <si>
    <t>미안하지만 혹시, 그리고, 하지만 이라는 말은 마세요(핑계는 안 됩니다).</t>
    <phoneticPr fontId="1" type="noConversion"/>
  </si>
  <si>
    <t>그러다 빈 방이 없으면 어떡해?</t>
    <phoneticPr fontId="1" type="noConversion"/>
  </si>
  <si>
    <t>What if there are no vacancies?</t>
    <phoneticPr fontId="1" type="noConversion"/>
  </si>
  <si>
    <t>그녀가 이 반지를 안 좋아하면 어떻게 하지?</t>
    <phoneticPr fontId="1" type="noConversion"/>
  </si>
  <si>
    <t>What if she doesn't like this ring?</t>
    <phoneticPr fontId="1" type="noConversion"/>
  </si>
  <si>
    <t>그녀가 이미 결혼했으면 어떻게 해?</t>
    <phoneticPr fontId="1" type="noConversion"/>
  </si>
  <si>
    <t>What if she already got married?</t>
    <phoneticPr fontId="1" type="noConversion"/>
  </si>
  <si>
    <t>그가 생선회를 먹지 않으면 어떡하지?</t>
    <phoneticPr fontId="1" type="noConversion"/>
  </si>
  <si>
    <t>What if he doesn't eat raw fish?</t>
    <phoneticPr fontId="1" type="noConversion"/>
  </si>
  <si>
    <t>테스트에서 떨어지면 어쩌죠?</t>
    <phoneticPr fontId="1" type="noConversion"/>
  </si>
  <si>
    <t>What if I fail the test?</t>
    <phoneticPr fontId="1" type="noConversion"/>
  </si>
  <si>
    <t>괜찮아. 최선을 다했잖아.</t>
    <phoneticPr fontId="1" type="noConversion"/>
  </si>
  <si>
    <t>You'll be fine. You did your best.</t>
    <phoneticPr fontId="1" type="noConversion"/>
  </si>
  <si>
    <t>pat</t>
    <phoneticPr fontId="1" type="noConversion"/>
  </si>
  <si>
    <t>얼마나 ~했는지 ~했어요</t>
    <phoneticPr fontId="1" type="noConversion"/>
  </si>
  <si>
    <t>so that</t>
    <phoneticPr fontId="1" type="noConversion"/>
  </si>
  <si>
    <t>얼마나 걱정이 되던지 간밤에 한숨도 못 잤어.</t>
    <phoneticPr fontId="1" type="noConversion"/>
  </si>
  <si>
    <t>I was so worried that I didn't sleep a wink last night.</t>
    <phoneticPr fontId="1" type="noConversion"/>
  </si>
  <si>
    <t>pat</t>
    <phoneticPr fontId="1" type="noConversion"/>
  </si>
  <si>
    <t>걱정에 대해 원인과 결과를 말할 때</t>
    <phoneticPr fontId="1" type="noConversion"/>
  </si>
  <si>
    <t>so that</t>
    <phoneticPr fontId="1" type="noConversion"/>
  </si>
  <si>
    <t>예상치 못한 일에 원인과 결과를 말할 때</t>
    <phoneticPr fontId="1" type="noConversion"/>
  </si>
  <si>
    <t>so that</t>
    <phoneticPr fontId="1" type="noConversion"/>
  </si>
  <si>
    <t>수상하신 것 축하드립니다!</t>
    <phoneticPr fontId="1" type="noConversion"/>
  </si>
  <si>
    <t>Congratulations on winning the award!</t>
    <phoneticPr fontId="1" type="noConversion"/>
  </si>
  <si>
    <t>감사합니다. 너무 놀라서 입이 안 다물어지더라고요.</t>
    <phoneticPr fontId="1" type="noConversion"/>
  </si>
  <si>
    <t>Thank you. I was so surprised that my jaw hit the floor.</t>
    <phoneticPr fontId="1" type="noConversion"/>
  </si>
  <si>
    <t>잊고 있던 것에 대한 원인과 결과를 말할 때</t>
    <phoneticPr fontId="1" type="noConversion"/>
  </si>
  <si>
    <t>애기가 왜 그렇게 울어?</t>
    <phoneticPr fontId="1" type="noConversion"/>
  </si>
  <si>
    <t>Why is the baby crying?</t>
    <phoneticPr fontId="1" type="noConversion"/>
  </si>
  <si>
    <t>연속극에 너무 빠져 있다가 애 기저귀 갈아주는 걸 잊었지 뭐야.</t>
    <phoneticPr fontId="1" type="noConversion"/>
  </si>
  <si>
    <t>I was so caught up in my soaps that I forgot to change her diaper.</t>
    <phoneticPr fontId="1" type="noConversion"/>
  </si>
  <si>
    <t>오늘 일찍 퇴근할게요, 그래야 당신과 저녁 먹을 수 있을테니까요.</t>
    <phoneticPr fontId="1" type="noConversion"/>
  </si>
  <si>
    <t>I'll get off work early today so that I can join you for dinner.</t>
    <phoneticPr fontId="1" type="noConversion"/>
  </si>
  <si>
    <t>여기서 할 일이라곤 하나도 없네.</t>
    <phoneticPr fontId="1" type="noConversion"/>
  </si>
  <si>
    <t>There's nothing to do here.</t>
    <phoneticPr fontId="1" type="noConversion"/>
  </si>
  <si>
    <t>나도 동감이야. 심심해서 죽겠어.</t>
    <phoneticPr fontId="1" type="noConversion"/>
  </si>
  <si>
    <t>I feel the same as you. I'm so bored out of my mind.</t>
    <phoneticPr fontId="1" type="noConversion"/>
  </si>
  <si>
    <t>어찌나 당황했는지 단번에 얼굴 빨개진 거 있죠.</t>
    <phoneticPr fontId="1" type="noConversion"/>
  </si>
  <si>
    <t>어찌나 스트레스를 받았는지 식욕을 잃었어.</t>
    <phoneticPr fontId="1" type="noConversion"/>
  </si>
  <si>
    <t>I was so stressed that I lost my appetite.</t>
    <phoneticPr fontId="1" type="noConversion"/>
  </si>
  <si>
    <t>어찌나 덤벙댔는지 휴대폰을 집에 놓고 왔지 뭐야.</t>
    <phoneticPr fontId="1" type="noConversion"/>
  </si>
  <si>
    <t>I was so careless that I left my cell phone at home.</t>
    <phoneticPr fontId="1" type="noConversion"/>
  </si>
  <si>
    <t>얼마나 아팠는지 조금도 움직일 수 없었어.</t>
    <phoneticPr fontId="1" type="noConversion"/>
  </si>
  <si>
    <t>I was so sick that I couldn't move at all.</t>
    <phoneticPr fontId="1" type="noConversion"/>
  </si>
  <si>
    <t>unit09</t>
    <phoneticPr fontId="1" type="noConversion"/>
  </si>
  <si>
    <t>I know you need this to be done soon but</t>
    <phoneticPr fontId="1" type="noConversion"/>
  </si>
  <si>
    <t>이 일을 빨리 마쳐야 한다는 것은 알겠습니다만</t>
    <phoneticPr fontId="1" type="noConversion"/>
  </si>
  <si>
    <t>-</t>
    <phoneticPr fontId="1" type="noConversion"/>
  </si>
  <si>
    <t>-</t>
    <phoneticPr fontId="1" type="noConversion"/>
  </si>
  <si>
    <t>pat</t>
    <phoneticPr fontId="1" type="noConversion"/>
  </si>
  <si>
    <t>~해주셔서 감사합니다.</t>
    <phoneticPr fontId="1" type="noConversion"/>
  </si>
  <si>
    <t>I appreciate</t>
    <phoneticPr fontId="1" type="noConversion"/>
  </si>
  <si>
    <t>unit10</t>
    <phoneticPr fontId="1" type="noConversion"/>
  </si>
  <si>
    <t>sit</t>
    <phoneticPr fontId="1" type="noConversion"/>
  </si>
  <si>
    <t>I appreciate your concern, but I'll be able to finish up by myself.</t>
    <phoneticPr fontId="1" type="noConversion"/>
  </si>
  <si>
    <t>pat</t>
    <phoneticPr fontId="1" type="noConversion"/>
  </si>
  <si>
    <t>그간 내가 얼마나 바빴는지 이해해줘서 고마워.</t>
    <phoneticPr fontId="1" type="noConversion"/>
  </si>
  <si>
    <t>I appreciate that you understand how busy I've been.</t>
    <phoneticPr fontId="1" type="noConversion"/>
  </si>
  <si>
    <t>상대방의 배려와 노고에 감사를 표할 때 (that)</t>
    <phoneticPr fontId="1" type="noConversion"/>
  </si>
  <si>
    <t>I appreciate that</t>
    <phoneticPr fontId="1" type="noConversion"/>
  </si>
  <si>
    <t>앞으로 있을 상대의 노고와 배려를 미리 감사할 때 (that)</t>
    <phoneticPr fontId="1" type="noConversion"/>
  </si>
  <si>
    <t>나 때문에 일부러 그런 수고를 해주겠다니 정말 고맙다.</t>
    <phoneticPr fontId="1" type="noConversion"/>
  </si>
  <si>
    <t>I appreciate that you will make that extra effort for me.</t>
    <phoneticPr fontId="1" type="noConversion"/>
  </si>
  <si>
    <t>당신이 나를 도와주신다면 정말 고맙겠어요.</t>
    <phoneticPr fontId="1" type="noConversion"/>
  </si>
  <si>
    <t>I would appreciate it if you could help me.</t>
    <phoneticPr fontId="1" type="noConversion"/>
  </si>
  <si>
    <t>당신이 협조해주신다면 매우 감사하겠습니다.</t>
    <phoneticPr fontId="1" type="noConversion"/>
  </si>
  <si>
    <t>Your support will be greatly appreciated.</t>
    <phoneticPr fontId="1" type="noConversion"/>
  </si>
  <si>
    <t>당신이 생각하는 어떤 아이디어라도 주시면 대단히 감사하겠습니다.</t>
    <phoneticPr fontId="1" type="noConversion"/>
  </si>
  <si>
    <t>Any new ideas that you have will be greatly appreciated.</t>
    <phoneticPr fontId="1" type="noConversion"/>
  </si>
  <si>
    <t>jmc</t>
    <phoneticPr fontId="1" type="noConversion"/>
  </si>
  <si>
    <t>안녕, 무슨 일로 왔어?</t>
    <phoneticPr fontId="1" type="noConversion"/>
  </si>
  <si>
    <t>Hi, what brings you here?</t>
    <phoneticPr fontId="1" type="noConversion"/>
  </si>
  <si>
    <t>데이터 좀 찾아볼 게 있어서. 어, 너 지금 가는 거야? 일 다 마친거야?</t>
    <phoneticPr fontId="1" type="noConversion"/>
  </si>
  <si>
    <t>I need to look up some data. Hey, are you leaving now? Are you done?</t>
    <phoneticPr fontId="1" type="noConversion"/>
  </si>
  <si>
    <t>아니, 화장실 가는 거야. 왜?</t>
    <phoneticPr fontId="1" type="noConversion"/>
  </si>
  <si>
    <t>No, I'm heading out to the restroom. Why?</t>
    <phoneticPr fontId="1" type="noConversion"/>
  </si>
  <si>
    <t>이거 지수한테 좀 갖다줄 수 있어? 입구(문) 근처에 있어.</t>
    <phoneticPr fontId="1" type="noConversion"/>
  </si>
  <si>
    <t>Would you mind passing Jisu this paper? She's near the door.</t>
    <phoneticPr fontId="1" type="noConversion"/>
  </si>
  <si>
    <t>응 알겠어.</t>
    <phoneticPr fontId="1" type="noConversion"/>
  </si>
  <si>
    <t>No problem.</t>
    <phoneticPr fontId="1" type="noConversion"/>
  </si>
  <si>
    <t>사고 났다는 것 들었어. 그니까, 정확히 어떻게 된거야?</t>
    <phoneticPr fontId="1" type="noConversion"/>
  </si>
  <si>
    <t>I heard about the accident. So, what exactly happened?</t>
    <phoneticPr fontId="1" type="noConversion"/>
  </si>
  <si>
    <t>My boss got into a car accident. His car was totally crushed. And he's in the hospital now.</t>
    <phoneticPr fontId="1" type="noConversion"/>
  </si>
  <si>
    <t>상태는 어때?</t>
    <phoneticPr fontId="1" type="noConversion"/>
  </si>
  <si>
    <t>How's his condition?</t>
    <phoneticPr fontId="1" type="noConversion"/>
  </si>
  <si>
    <t>혼수상태야.</t>
    <phoneticPr fontId="1" type="noConversion"/>
  </si>
  <si>
    <t>He's in a coma.</t>
    <phoneticPr fontId="1" type="noConversion"/>
  </si>
  <si>
    <t>세상에. 만약 깨어나지 못하면 어떻게 해?</t>
    <phoneticPr fontId="1" type="noConversion"/>
  </si>
  <si>
    <t>Oh my! What if he can't wake up?</t>
    <phoneticPr fontId="1" type="noConversion"/>
  </si>
  <si>
    <t>Don't be negative. He'll recover soon enough.</t>
    <phoneticPr fontId="1" type="noConversion"/>
  </si>
  <si>
    <t>쓸데없는 소리 하지마(부정적인 소리 하지마, 비관하지 말자). 금방 회복되실거야.</t>
    <phoneticPr fontId="1" type="noConversion"/>
  </si>
  <si>
    <t>내 상사가 차 사고가 났어. 차는 완전히 부서졌고. 그리고 지금 병원에 입원해 있어.</t>
    <phoneticPr fontId="1" type="noConversion"/>
  </si>
  <si>
    <t>pat</t>
    <phoneticPr fontId="1" type="noConversion"/>
  </si>
  <si>
    <t>~에는 관심 없어요.</t>
    <phoneticPr fontId="1" type="noConversion"/>
  </si>
  <si>
    <t>I don't have any interest in</t>
    <phoneticPr fontId="1" type="noConversion"/>
  </si>
  <si>
    <t>무엇에 관심이 없다고 전할 때</t>
    <phoneticPr fontId="1" type="noConversion"/>
  </si>
  <si>
    <t>난 '자기계발' 책들에는 도무지 흥미가 없어.</t>
    <phoneticPr fontId="1" type="noConversion"/>
  </si>
  <si>
    <t>I don't have any interest in self-help books.</t>
    <phoneticPr fontId="1" type="noConversion"/>
  </si>
  <si>
    <t>음 안타깝군, 도움이 참 많이 되는데.</t>
    <phoneticPr fontId="1" type="noConversion"/>
  </si>
  <si>
    <t>그쪽엔 관심 없어요(문외한이에요).</t>
    <phoneticPr fontId="1" type="noConversion"/>
  </si>
  <si>
    <t>It's not my cup of tea.</t>
    <phoneticPr fontId="1" type="noConversion"/>
  </si>
  <si>
    <t>저는 과거에 일어난 일에 관심 없어요.</t>
    <phoneticPr fontId="1" type="noConversion"/>
  </si>
  <si>
    <t>I don't have any interest in what happened in the past.</t>
    <phoneticPr fontId="1" type="noConversion"/>
  </si>
  <si>
    <t>저는 대학원 가는 일에 관심 없어요.</t>
    <phoneticPr fontId="1" type="noConversion"/>
  </si>
  <si>
    <t>I don't have any interest in going to a graduate school.</t>
    <phoneticPr fontId="1" type="noConversion"/>
  </si>
  <si>
    <t>난 얼굴 알려지는 데 전혀 관심 없어.</t>
    <phoneticPr fontId="1" type="noConversion"/>
  </si>
  <si>
    <t>I don't have any interest in being in the public eye.</t>
    <phoneticPr fontId="1" type="noConversion"/>
  </si>
  <si>
    <t>unit11</t>
    <phoneticPr fontId="1" type="noConversion"/>
  </si>
  <si>
    <t>roadside</t>
    <phoneticPr fontId="1" type="noConversion"/>
  </si>
  <si>
    <t>단어</t>
    <phoneticPr fontId="1" type="noConversion"/>
  </si>
  <si>
    <t>쉬운 설명</t>
    <phoneticPr fontId="1" type="noConversion"/>
  </si>
  <si>
    <t>edge of a road</t>
    <phoneticPr fontId="1" type="noConversion"/>
  </si>
  <si>
    <t>abstain</t>
    <phoneticPr fontId="1" type="noConversion"/>
  </si>
  <si>
    <t>pat</t>
    <phoneticPr fontId="1" type="noConversion"/>
  </si>
  <si>
    <t>to choose not to do</t>
    <phoneticPr fontId="1" type="noConversion"/>
  </si>
  <si>
    <t>abstain vote</t>
    <phoneticPr fontId="1" type="noConversion"/>
  </si>
  <si>
    <t>to choose not to vote</t>
    <phoneticPr fontId="1" type="noConversion"/>
  </si>
  <si>
    <t>accept</t>
    <phoneticPr fontId="1" type="noConversion"/>
  </si>
  <si>
    <t>to take something offered</t>
    <phoneticPr fontId="1" type="noConversion"/>
  </si>
  <si>
    <t>sit</t>
    <phoneticPr fontId="1" type="noConversion"/>
  </si>
  <si>
    <t>accept her as one of the group</t>
    <phoneticPr fontId="1" type="noConversion"/>
  </si>
  <si>
    <t>to take someone as a member</t>
    <phoneticPr fontId="1" type="noConversion"/>
  </si>
  <si>
    <t>access</t>
    <phoneticPr fontId="1" type="noConversion"/>
  </si>
  <si>
    <t>a way of getting near</t>
    <phoneticPr fontId="1" type="noConversion"/>
  </si>
  <si>
    <t>The file can be accessed by many users at the same time.</t>
    <phoneticPr fontId="1" type="noConversion"/>
  </si>
  <si>
    <t>to be able to use</t>
    <phoneticPr fontId="1" type="noConversion"/>
  </si>
  <si>
    <t>en</t>
    <phoneticPr fontId="1" type="noConversion"/>
  </si>
  <si>
    <t>kor</t>
    <phoneticPr fontId="1" type="noConversion"/>
  </si>
  <si>
    <t>variable</t>
    <phoneticPr fontId="1" type="noConversion"/>
  </si>
  <si>
    <t>value</t>
    <phoneticPr fontId="1" type="noConversion"/>
  </si>
  <si>
    <t>I'm a junior in college majoring in journalism.</t>
    <phoneticPr fontId="1" type="noConversion"/>
  </si>
  <si>
    <t>저는 대학교 3학년으로 신문방송학을 전공하고 있습니다.</t>
    <phoneticPr fontId="1" type="noConversion"/>
  </si>
  <si>
    <t>memo</t>
    <phoneticPr fontId="1" type="noConversion"/>
  </si>
  <si>
    <t>major list</t>
    <phoneticPr fontId="1" type="noConversion"/>
  </si>
  <si>
    <t>grade, major</t>
    <phoneticPr fontId="1" type="noConversion"/>
  </si>
  <si>
    <t>junior, journalism</t>
    <phoneticPr fontId="1" type="noConversion"/>
  </si>
  <si>
    <t>en_2</t>
    <phoneticPr fontId="1" type="noConversion"/>
  </si>
  <si>
    <t>I'm a #{grade} in college majoring in #{major}.</t>
    <phoneticPr fontId="1" type="noConversion"/>
  </si>
  <si>
    <t>The reason I chose journalism as my major is to become a journalist later on in my life.</t>
    <phoneticPr fontId="1" type="noConversion"/>
  </si>
  <si>
    <t>The reason I chose #{major} as my major is to become a #{job} later on in my life.</t>
    <phoneticPr fontId="1" type="noConversion"/>
  </si>
  <si>
    <t>major, job</t>
    <phoneticPr fontId="1" type="noConversion"/>
  </si>
  <si>
    <t>journalism, journalist</t>
    <phoneticPr fontId="1" type="noConversion"/>
  </si>
  <si>
    <t>나중에 언론인이 되고 싶어서 이 전공을 택했습니다.</t>
    <phoneticPr fontId="1" type="noConversion"/>
  </si>
  <si>
    <t>major and job</t>
    <phoneticPr fontId="1" type="noConversion"/>
  </si>
  <si>
    <t>option</t>
    <phoneticPr fontId="1" type="noConversion"/>
  </si>
  <si>
    <t>gen</t>
    <phoneticPr fontId="1" type="noConversion"/>
  </si>
  <si>
    <t>spe</t>
    <phoneticPr fontId="1" type="noConversion"/>
  </si>
  <si>
    <t>I have a double major in computer engineering and business administration.</t>
    <phoneticPr fontId="1" type="noConversion"/>
  </si>
  <si>
    <t>option_value</t>
    <phoneticPr fontId="1" type="noConversion"/>
  </si>
  <si>
    <t>major1, major2</t>
    <phoneticPr fontId="1" type="noConversion"/>
  </si>
  <si>
    <t>computer engineering, business administration</t>
    <phoneticPr fontId="1" type="noConversion"/>
  </si>
  <si>
    <t>I have a double major in #{major1} and #{major2}.</t>
    <phoneticPr fontId="1" type="noConversion"/>
  </si>
  <si>
    <t>저는 컴퓨터 공학과 경영학을 이중 전공하고 있습니다.</t>
    <phoneticPr fontId="1" type="noConversion"/>
  </si>
  <si>
    <t>I was an engineering major when I started out, but I thought it would be helpful if I had some knowledge in business.</t>
    <phoneticPr fontId="1" type="noConversion"/>
  </si>
  <si>
    <t>I was a/an #{major1} when I started out, but I thought it would be helpful if I had some knowledge in #{major2}.</t>
    <phoneticPr fontId="1" type="noConversion"/>
  </si>
  <si>
    <t>major2</t>
    <phoneticPr fontId="1" type="noConversion"/>
  </si>
  <si>
    <t>business administration</t>
    <phoneticPr fontId="1" type="noConversion"/>
  </si>
  <si>
    <t>That's why I decided to major in business administration, too.</t>
    <phoneticPr fontId="1" type="noConversion"/>
  </si>
  <si>
    <t>That's why I decided to major in #{major2}, too.</t>
    <phoneticPr fontId="1" type="noConversion"/>
  </si>
  <si>
    <t>대학에 입학했을 때는 공학도였지만 경영학 지식이 있으면 도움이 될 것이라고 생각했습니다.</t>
    <phoneticPr fontId="1" type="noConversion"/>
  </si>
  <si>
    <t>그래서 경영학도 전공하기로 결정했습니다.</t>
    <phoneticPr fontId="1" type="noConversion"/>
  </si>
  <si>
    <t>graduate school</t>
    <phoneticPr fontId="1" type="noConversion"/>
  </si>
  <si>
    <t>future_plan</t>
    <phoneticPr fontId="1" type="noConversion"/>
  </si>
  <si>
    <t>As for future plans, I plan to go graduate school after finishing my undergraduate studies.</t>
    <phoneticPr fontId="1" type="noConversion"/>
  </si>
  <si>
    <t>As for future plans, I plan to go #{future_plans} after finishing my undergraduate studies.</t>
    <phoneticPr fontId="1" type="noConversion"/>
  </si>
  <si>
    <t>장래 계획은 어떤가 하면, 학부 과정을 마친 후에 대학원에 진학하고 싶습니다.</t>
    <phoneticPr fontId="1" type="noConversion"/>
  </si>
  <si>
    <t>이중전공</t>
    <phoneticPr fontId="1" type="noConversion"/>
  </si>
  <si>
    <t>대학원진학</t>
    <phoneticPr fontId="1" type="noConversion"/>
  </si>
  <si>
    <t>Master's_degree</t>
    <phoneticPr fontId="1" type="noConversion"/>
  </si>
  <si>
    <t>computer programming</t>
    <phoneticPr fontId="1" type="noConversion"/>
  </si>
  <si>
    <t>That’s because I want to further my expertise in computer programming.</t>
    <phoneticPr fontId="1" type="noConversion"/>
  </si>
  <si>
    <t>Tha'ts because I want to further my expertise in #{Master's_degree}.</t>
    <phoneticPr fontId="1" type="noConversion"/>
  </si>
  <si>
    <t>컴퓨터 프로그래밍 분야의 전문성을 좀 더 살려보고 싶기 때문입니다.</t>
    <phoneticPr fontId="1" type="noConversion"/>
  </si>
  <si>
    <t>취업</t>
    <phoneticPr fontId="1" type="noConversion"/>
  </si>
  <si>
    <t>IT</t>
    <phoneticPr fontId="1" type="noConversion"/>
  </si>
  <si>
    <t>company_sector</t>
    <phoneticPr fontId="1" type="noConversion"/>
  </si>
  <si>
    <t>I hope to join a good company in the IT sector.</t>
    <phoneticPr fontId="1" type="noConversion"/>
  </si>
  <si>
    <t>I hope to join a good company in the #{company_field} sector.</t>
    <phoneticPr fontId="1" type="noConversion"/>
  </si>
  <si>
    <t>IT 분야의 좋은 기업에 취업하고 싶습니다.</t>
    <phoneticPr fontId="1" type="noConversion"/>
  </si>
  <si>
    <t>As far as my personality goes, Iam quite outgoing and get along with other people very well.</t>
    <phoneticPr fontId="1" type="noConversion"/>
  </si>
  <si>
    <t>As far as my personality goes, I am quite #{personality} and #{personality_result} very well.</t>
    <phoneticPr fontId="1" type="noConversion"/>
  </si>
  <si>
    <t>personality, personality_result</t>
    <phoneticPr fontId="1" type="noConversion"/>
  </si>
  <si>
    <t>outgoing, get along with other people</t>
    <phoneticPr fontId="1" type="noConversion"/>
  </si>
  <si>
    <t>저는 매우 외향적이고 남들과 무척 잘 어울립니다.</t>
    <phoneticPr fontId="1" type="noConversion"/>
  </si>
  <si>
    <t>attitude, attitude_result</t>
    <phoneticPr fontId="1" type="noConversion"/>
  </si>
  <si>
    <t>positive, don't get stressed out that often</t>
    <phoneticPr fontId="1" type="noConversion"/>
  </si>
  <si>
    <t>I also have a positive attitude and don't get stressed out that often.</t>
    <phoneticPr fontId="1" type="noConversion"/>
  </si>
  <si>
    <t>I also have a #{attitude} attitude and #{attitude_result}.</t>
    <phoneticPr fontId="1" type="noConversion"/>
  </si>
  <si>
    <t>더불어, 긍정적인 편이어서 스트레스를 잘 받지도 않습니다.</t>
    <phoneticPr fontId="1" type="noConversion"/>
  </si>
  <si>
    <t>hobby1, hobby2</t>
    <phoneticPr fontId="1" type="noConversion"/>
  </si>
  <si>
    <t>snowboarding, wakeboarding</t>
    <phoneticPr fontId="1" type="noConversion"/>
  </si>
  <si>
    <t>As for my hobbies, I enjoy snowboarding in the winter and wakeboarding in the summer.</t>
    <phoneticPr fontId="1" type="noConversion"/>
  </si>
  <si>
    <t>As for my hobbies, I enjoy #{hobby1} and #{hobby2}.</t>
    <phoneticPr fontId="1" type="noConversion"/>
  </si>
  <si>
    <t>취미생활로는 겨울에는 스노보드를, 여름에는 웨이크보드를 즐기는 편입니다.</t>
    <phoneticPr fontId="1" type="noConversion"/>
  </si>
  <si>
    <t>I was so embarrassed that I blushed at once.</t>
    <phoneticPr fontId="1" type="noConversion"/>
  </si>
  <si>
    <t>난 그 사람이 노래하고 춤추는 것을 상상조차 할 수 없어.</t>
    <phoneticPr fontId="1" type="noConversion"/>
  </si>
  <si>
    <t>걱정해줘서 고마워, 그런데 나 혼자서도 끝낼 수 있을거야.</t>
    <phoneticPr fontId="1" type="noConversion"/>
  </si>
  <si>
    <t>That's a shame, they're really useful.</t>
    <phoneticPr fontId="1" type="noConversion"/>
  </si>
  <si>
    <t>d의_화려한_변신</t>
    <phoneticPr fontId="1" type="noConversion"/>
  </si>
  <si>
    <t>내가 불쌍하다고 생각하냐?</t>
    <phoneticPr fontId="1" type="noConversion"/>
  </si>
  <si>
    <t>You think I'm stupid?</t>
    <phoneticPr fontId="1" type="noConversion"/>
  </si>
  <si>
    <t>It rained hard all day.</t>
    <phoneticPr fontId="1" type="noConversion"/>
  </si>
  <si>
    <t>하루 종일 비가 엄청 내리네.</t>
    <phoneticPr fontId="1" type="noConversion"/>
  </si>
  <si>
    <t>그게 친구 좋다는 거지.</t>
    <phoneticPr fontId="1" type="noConversion"/>
  </si>
  <si>
    <t>That's what friends are for.</t>
    <phoneticPr fontId="1" type="noConversion"/>
  </si>
  <si>
    <t>pat</t>
    <phoneticPr fontId="1" type="noConversion"/>
  </si>
  <si>
    <t>The image of diamond is never changing.</t>
    <phoneticPr fontId="1" type="noConversion"/>
  </si>
  <si>
    <t>할머니와 손자는 가까운 관계죠.</t>
    <phoneticPr fontId="1" type="noConversion"/>
  </si>
  <si>
    <t>There's a close relationship between grandmothers and grandchildren.</t>
    <phoneticPr fontId="1" type="noConversion"/>
  </si>
  <si>
    <t>조경공사는 어떻게 되어갑니까?</t>
    <phoneticPr fontId="1" type="noConversion"/>
  </si>
  <si>
    <t>How's the landscaping coming?</t>
    <phoneticPr fontId="1" type="noConversion"/>
  </si>
  <si>
    <t>샌드위치는 보통 감자칩과 함께 나옵니다.</t>
    <phoneticPr fontId="1" type="noConversion"/>
  </si>
  <si>
    <t>설계상에는 수십 개의 서재가 있다.</t>
    <phoneticPr fontId="1" type="noConversion"/>
  </si>
  <si>
    <t>Tens of dens are in the blueprint.</t>
    <phoneticPr fontId="1" type="noConversion"/>
  </si>
  <si>
    <t>맛있는 dip에 대한 대가로 팁을 더 주었다.</t>
    <phoneticPr fontId="1" type="noConversion"/>
  </si>
  <si>
    <t>개가 마루의 매트를 물어뜯은 걸 알았을 때 정말 화가 났다.</t>
    <phoneticPr fontId="1" type="noConversion"/>
  </si>
  <si>
    <t>I got mad when I figured out that my dog had chewed the floor mat.</t>
    <phoneticPr fontId="1" type="noConversion"/>
  </si>
  <si>
    <t>다이아몬드의 이미지는 변하지 않는다는 것이지.</t>
    <phoneticPr fontId="1" type="noConversion"/>
  </si>
  <si>
    <t>Sandwich is usually served with potato chips.</t>
    <phoneticPr fontId="1" type="noConversion"/>
  </si>
  <si>
    <t>We left extra tip for the delicious dip.</t>
    <phoneticPr fontId="1" type="noConversion"/>
  </si>
  <si>
    <t>영수증은 여기 있구요,</t>
    <phoneticPr fontId="1" type="noConversion"/>
  </si>
  <si>
    <t>Here's your receipt,</t>
    <phoneticPr fontId="1" type="noConversion"/>
  </si>
  <si>
    <t>그리고 세차원에게 세차권을 주시면 됩니다.</t>
    <phoneticPr fontId="1" type="noConversion"/>
  </si>
  <si>
    <t>고맙습니다. 또 오세요.</t>
    <phoneticPr fontId="1" type="noConversion"/>
  </si>
  <si>
    <t>Thank you. Come again.</t>
    <phoneticPr fontId="1" type="noConversion"/>
  </si>
  <si>
    <t>이거 뭐야.</t>
    <phoneticPr fontId="1" type="noConversion"/>
  </si>
  <si>
    <t>Look at that.</t>
    <phoneticPr fontId="1" type="noConversion"/>
  </si>
  <si>
    <t>야채 베이컨.</t>
    <phoneticPr fontId="1" type="noConversion"/>
  </si>
  <si>
    <t>믿거나 말거나, 콜레스테롤이 없대요.</t>
    <phoneticPr fontId="1" type="noConversion"/>
  </si>
  <si>
    <t>Veggie bacon.</t>
    <phoneticPr fontId="1" type="noConversion"/>
  </si>
  <si>
    <t>And just hand this claiming disc to your car wash professional.</t>
    <phoneticPr fontId="1" type="noConversion"/>
  </si>
  <si>
    <t>Believe it or not, zero cholesterol.</t>
    <phoneticPr fontId="1" type="noConversion"/>
  </si>
  <si>
    <t>pat</t>
    <phoneticPr fontId="1" type="noConversion"/>
  </si>
  <si>
    <t>맛은 별 차이 없을 거에요.</t>
    <phoneticPr fontId="1" type="noConversion"/>
  </si>
  <si>
    <t>You won't even taste the difference.</t>
    <phoneticPr fontId="1" type="noConversion"/>
  </si>
  <si>
    <t>집에 몇 시쯤 들어 올 것 같아요?</t>
    <phoneticPr fontId="1" type="noConversion"/>
  </si>
  <si>
    <t>What time do you think you'll be home?</t>
    <phoneticPr fontId="1" type="noConversion"/>
  </si>
  <si>
    <t>항상 같지 뭐.</t>
    <phoneticPr fontId="1" type="noConversion"/>
  </si>
  <si>
    <t>Same time.</t>
    <phoneticPr fontId="1" type="noConversion"/>
  </si>
  <si>
    <t>You get paid till 5, you work till 5, no later.</t>
    <phoneticPr fontId="1" type="noConversion"/>
  </si>
  <si>
    <t>뜨거운 물이 또 안 나와요.</t>
    <phoneticPr fontId="1" type="noConversion"/>
  </si>
  <si>
    <t>There was no hot water again.</t>
    <phoneticPr fontId="1" type="noConversion"/>
  </si>
  <si>
    <t>그걸 고칠 쉬운 방법이 있지.</t>
    <phoneticPr fontId="1" type="noConversion"/>
  </si>
  <si>
    <t>I have an easy fix for that.</t>
    <phoneticPr fontId="1" type="noConversion"/>
  </si>
  <si>
    <t>네가 더 일찍 일어나서 다른 사람보다 먼저 샤워를 하면 돼.</t>
    <phoneticPr fontId="1" type="noConversion"/>
  </si>
  <si>
    <t>그건 그렇고, 한 살 더 드신 기분은 어때요?</t>
    <phoneticPr fontId="1" type="noConversion"/>
  </si>
  <si>
    <t>So, how's it feel to be old?</t>
    <phoneticPr fontId="1" type="noConversion"/>
  </si>
  <si>
    <t>You wake up early, and then you get to be the first person in the shower.</t>
    <phoneticPr fontId="1" type="noConversion"/>
  </si>
  <si>
    <t>s01e01</t>
    <phoneticPr fontId="1" type="noConversion"/>
  </si>
  <si>
    <t>5시까지 돈 받는 거고, 5시까지 일하는 거니까, 늦으면 안 돼요.</t>
    <phoneticPr fontId="1" type="noConversion"/>
  </si>
  <si>
    <t>pat2</t>
    <phoneticPr fontId="1" type="noConversion"/>
  </si>
  <si>
    <t>아빠, 오셔서 보세요.</t>
    <phoneticPr fontId="1" type="noConversion"/>
  </si>
  <si>
    <t>Dad, come check this out.</t>
    <phoneticPr fontId="1" type="noConversion"/>
  </si>
  <si>
    <t>You understood what I've just said to you?</t>
    <phoneticPr fontId="1" type="noConversion"/>
  </si>
  <si>
    <t>제가 방금 해드린 말 이해하셨나요?</t>
    <phoneticPr fontId="1" type="noConversion"/>
  </si>
  <si>
    <t>pat3</t>
    <phoneticPr fontId="1" type="noConversion"/>
  </si>
  <si>
    <t>치료를 받는다고 할 때 최상의 경우 전 2년 정도 더 살 수 있겠군요.</t>
    <phoneticPr fontId="1" type="noConversion"/>
  </si>
  <si>
    <t>Best-case scenario, with chemo, I'll live maybe another couple of years.</t>
    <phoneticPr fontId="1" type="noConversion"/>
  </si>
  <si>
    <t>pat3</t>
    <phoneticPr fontId="1" type="noConversion"/>
  </si>
  <si>
    <t>pat4</t>
    <phoneticPr fontId="1" type="noConversion"/>
  </si>
  <si>
    <t>날 어떻게 찾았죠?</t>
    <phoneticPr fontId="1" type="noConversion"/>
  </si>
  <si>
    <t>How'd you find me?</t>
    <phoneticPr fontId="1" type="noConversion"/>
  </si>
  <si>
    <t>학생기록부에 여전히 나와 있단다.</t>
    <phoneticPr fontId="1" type="noConversion"/>
  </si>
  <si>
    <t>You're still in our filing system.</t>
    <phoneticPr fontId="1" type="noConversion"/>
  </si>
  <si>
    <t>너희 고모네 집이지?</t>
    <phoneticPr fontId="1" type="noConversion"/>
  </si>
  <si>
    <t>So your aunt owns this place, right?</t>
    <phoneticPr fontId="1" type="noConversion"/>
  </si>
  <si>
    <t>내 집인데요.</t>
    <phoneticPr fontId="1" type="noConversion"/>
  </si>
  <si>
    <t>I own it.</t>
    <phoneticPr fontId="1" type="noConversion"/>
  </si>
  <si>
    <t>널 잡으러 온 게 아냐.</t>
    <phoneticPr fontId="1" type="noConversion"/>
  </si>
  <si>
    <t>No one's looking for you.</t>
    <phoneticPr fontId="1" type="noConversion"/>
  </si>
  <si>
    <t>여기 왜 오셨어요?</t>
    <phoneticPr fontId="1" type="noConversion"/>
  </si>
  <si>
    <t>Why are you here?</t>
    <phoneticPr fontId="1" type="noConversion"/>
  </si>
  <si>
    <t>궁금한게 있어서 말이다.</t>
    <phoneticPr fontId="1" type="noConversion"/>
  </si>
  <si>
    <t>I was curious.</t>
    <phoneticPr fontId="1" type="noConversion"/>
  </si>
  <si>
    <t>솔직히 난 너한테 많은 양이 있을 거라곤 절대 기대하지 않았다,</t>
    <phoneticPr fontId="1" type="noConversion"/>
  </si>
  <si>
    <t>Honestly, I never expected you to amount to much,</t>
    <phoneticPr fontId="1" type="noConversion"/>
  </si>
  <si>
    <t>하지만 필로폰이지?</t>
    <phoneticPr fontId="1" type="noConversion"/>
  </si>
  <si>
    <t>But, methamphetamin?</t>
    <phoneticPr fontId="1" type="noConversion"/>
  </si>
  <si>
    <t>자세히 보진 못했지만 말이다.</t>
    <phoneticPr fontId="1" type="noConversion"/>
  </si>
  <si>
    <t>I didn't picture that.</t>
    <phoneticPr fontId="1" type="noConversion"/>
  </si>
  <si>
    <t>거기 상당한 돈이 있었떤 것 같은데, 어?</t>
    <phoneticPr fontId="1" type="noConversion"/>
  </si>
  <si>
    <t>There's a lot of money in it, huh?</t>
    <phoneticPr fontId="1" type="noConversion"/>
  </si>
  <si>
    <t>무슨 말 하는지 모르겠네요.</t>
    <phoneticPr fontId="1" type="noConversion"/>
  </si>
  <si>
    <t>I don't know what you're talking about.</t>
    <phoneticPr fontId="1" type="noConversion"/>
  </si>
  <si>
    <t>전혀요.</t>
    <phoneticPr fontId="1" type="noConversion"/>
  </si>
  <si>
    <t>Not a clue.</t>
    <phoneticPr fontId="1" type="noConversion"/>
  </si>
  <si>
    <t>캡틴 쿡? 그게 너 아니냐?</t>
    <phoneticPr fontId="1" type="noConversion"/>
  </si>
  <si>
    <t>Captain Cook? That's not you?</t>
    <phoneticPr fontId="1" type="noConversion"/>
  </si>
  <si>
    <t>말했지만, 널 잡으러 온 게 아니다.</t>
    <phoneticPr fontId="1" type="noConversion"/>
  </si>
  <si>
    <t>Like I said, no one is looking for you.</t>
    <phoneticPr fontId="1" type="noConversion"/>
  </si>
  <si>
    <t>이보세요, 도대체 뭔 소리하는지 못 알아 먹겠거든요, 화이트 선생님?</t>
    <phoneticPr fontId="1" type="noConversion"/>
  </si>
  <si>
    <t>Look, I don't know what you think you're doing here, Mr. White?</t>
    <phoneticPr fontId="1" type="noConversion"/>
  </si>
  <si>
    <t>I mean, if you're planning on giving me some bowl winder about getting right with jesus by turning myself in…</t>
    <phoneticPr fontId="1" type="noConversion"/>
  </si>
  <si>
    <t>제가 하고 싶은 말은, 만약 예수님 운운하는 허튼 소리로 절 자수시킬 계획이라면…</t>
    <phoneticPr fontId="1" type="noConversion"/>
  </si>
  <si>
    <t>그럴 맘은 없다.</t>
    <phoneticPr fontId="1" type="noConversion"/>
  </si>
  <si>
    <t>Not really.</t>
    <phoneticPr fontId="1" type="noConversion"/>
  </si>
  <si>
    <t>pat5</t>
    <phoneticPr fontId="1" type="noConversion"/>
  </si>
  <si>
    <t>저 더 이상 고딩 아니거든요?</t>
    <phoneticPr fontId="1" type="noConversion"/>
  </si>
  <si>
    <t>High school was a long time ago.</t>
    <phoneticPr fontId="1" type="noConversion"/>
  </si>
  <si>
    <t>짧게 말하마.</t>
    <phoneticPr fontId="1" type="noConversion"/>
  </si>
  <si>
    <t>Short speech.</t>
    <phoneticPr fontId="1" type="noConversion"/>
  </si>
  <si>
    <t>너 오늘 동업자를 잃었지, 이름이 뭐였더라.</t>
    <phoneticPr fontId="1" type="noConversion"/>
  </si>
  <si>
    <t>You lost your partner today, what's his name.</t>
    <phoneticPr fontId="1" type="noConversion"/>
  </si>
  <si>
    <t>에밀리오?</t>
    <phoneticPr fontId="1" type="noConversion"/>
  </si>
  <si>
    <t>Emilio?</t>
    <phoneticPr fontId="1" type="noConversion"/>
  </si>
  <si>
    <t>에밀리오는 감옥에 갖히게 될꺼다.</t>
    <phoneticPr fontId="1" type="noConversion"/>
  </si>
  <si>
    <t>Emilio is going to prision.</t>
    <phoneticPr fontId="1" type="noConversion"/>
  </si>
  <si>
    <t>마약단속반이 네 돈과 제조시설을 압수해 갔지.</t>
    <phoneticPr fontId="1" type="noConversion"/>
  </si>
  <si>
    <t>The DEA took all your money, your lab.</t>
    <phoneticPr fontId="1" type="noConversion"/>
  </si>
  <si>
    <t>빈털터리가 되는 거지.</t>
    <phoneticPr fontId="1" type="noConversion"/>
  </si>
  <si>
    <t>You got nothing.</t>
    <phoneticPr fontId="1" type="noConversion"/>
  </si>
  <si>
    <t>Square one.</t>
    <phoneticPr fontId="1" type="noConversion"/>
  </si>
  <si>
    <t>처음으로 돌아가는거지.</t>
    <phoneticPr fontId="1" type="noConversion"/>
  </si>
  <si>
    <t>근데 넌 이 비즈니스에 대해 알고 있지.</t>
    <phoneticPr fontId="1" type="noConversion"/>
  </si>
  <si>
    <t>But you know the business.</t>
    <phoneticPr fontId="1" type="noConversion"/>
  </si>
  <si>
    <t>그리고 난 화학을 알고.</t>
    <phoneticPr fontId="1" type="noConversion"/>
  </si>
  <si>
    <t>And I know the chemistry.</t>
    <phoneticPr fontId="1" type="noConversion"/>
  </si>
  <si>
    <t>내가 생각하기엔</t>
    <phoneticPr fontId="1" type="noConversion"/>
  </si>
  <si>
    <t>I'm thinking</t>
    <phoneticPr fontId="1" type="noConversion"/>
  </si>
  <si>
    <t>아마 너와 나는 동업자가 될 수 있을 것 같다.</t>
    <phoneticPr fontId="1" type="noConversion"/>
  </si>
  <si>
    <t>Maybe you and I could partner up.</t>
    <phoneticPr fontId="1" type="noConversion"/>
  </si>
  <si>
    <t>그렇게 하든지</t>
    <phoneticPr fontId="1" type="noConversion"/>
  </si>
  <si>
    <t>Either that</t>
    <phoneticPr fontId="1" type="noConversion"/>
  </si>
  <si>
    <t>or I turn you in.</t>
    <phoneticPr fontId="1" type="noConversion"/>
  </si>
  <si>
    <t>아니면 내가 널 잡어 넣든지.</t>
    <phoneticPr fontId="1" type="noConversion"/>
  </si>
  <si>
    <t>몰라?</t>
    <phoneticPr fontId="1" type="noConversion"/>
  </si>
  <si>
    <t>No?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</si>
</sst>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);[Red]\(0.00\)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E91B05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</borders>
  <cellStyleXfs count="5">
    <xf numFmtId="0" fontId="0" fillId="0" borderId="0">
      <alignment vertical="center"/>
    </xf>
    <xf numFmtId="0" fontId="2" fillId="2" borderId="1" applyNumberFormat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2" fillId="2" borderId="1" xfId="1">
      <alignment vertical="center"/>
    </xf>
    <xf numFmtId="0" fontId="0" fillId="4" borderId="0" xfId="0" applyFill="1">
      <alignment vertical="center"/>
    </xf>
    <xf numFmtId="0" fontId="4" fillId="3" borderId="0" xfId="0" applyFont="1" applyFill="1">
      <alignment vertical="center"/>
    </xf>
    <xf numFmtId="0" fontId="5" fillId="3" borderId="0" xfId="0" applyFont="1" applyFill="1">
      <alignment vertical="center"/>
    </xf>
    <xf numFmtId="0" fontId="6" fillId="0" borderId="0" xfId="0" applyFont="1">
      <alignment vertical="center"/>
    </xf>
    <xf numFmtId="9" fontId="0" fillId="0" borderId="0" xfId="2" applyFont="1">
      <alignment vertical="center"/>
    </xf>
    <xf numFmtId="0" fontId="7" fillId="5" borderId="0" xfId="3">
      <alignment vertical="center"/>
    </xf>
    <xf numFmtId="0" fontId="0" fillId="0" borderId="2" xfId="0" applyBorder="1">
      <alignment vertical="center"/>
    </xf>
    <xf numFmtId="0" fontId="0" fillId="5" borderId="0" xfId="3" applyFont="1">
      <alignment vertical="center"/>
    </xf>
    <xf numFmtId="0" fontId="0" fillId="0" borderId="0" xfId="0" quotePrefix="1">
      <alignment vertical="center"/>
    </xf>
    <xf numFmtId="0" fontId="2" fillId="2" borderId="3" xfId="1" applyBorder="1">
      <alignment vertical="center"/>
    </xf>
    <xf numFmtId="9" fontId="0" fillId="0" borderId="2" xfId="2" applyFont="1" applyBorder="1">
      <alignment vertical="center"/>
    </xf>
    <xf numFmtId="14" fontId="0" fillId="0" borderId="0" xfId="0" applyNumberFormat="1">
      <alignment vertical="center"/>
    </xf>
    <xf numFmtId="14" fontId="7" fillId="5" borderId="0" xfId="3" applyNumberFormat="1">
      <alignment vertical="center"/>
    </xf>
    <xf numFmtId="14" fontId="0" fillId="0" borderId="2" xfId="0" applyNumberFormat="1" applyBorder="1">
      <alignment vertical="center"/>
    </xf>
    <xf numFmtId="0" fontId="4" fillId="6" borderId="1" xfId="4" applyBorder="1">
      <alignment vertical="center"/>
    </xf>
    <xf numFmtId="0" fontId="0" fillId="0" borderId="2" xfId="0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0" fillId="0" borderId="2" xfId="0" applyNumberFormat="1" applyBorder="1" applyAlignment="1">
      <alignment horizontal="right" vertical="center"/>
    </xf>
    <xf numFmtId="0" fontId="0" fillId="5" borderId="0" xfId="3" applyFont="1" applyBorder="1">
      <alignment vertical="center"/>
    </xf>
    <xf numFmtId="0" fontId="9" fillId="0" borderId="0" xfId="0" applyFont="1">
      <alignment vertical="center"/>
    </xf>
    <xf numFmtId="0" fontId="9" fillId="5" borderId="0" xfId="3" applyFont="1">
      <alignment vertical="center"/>
    </xf>
    <xf numFmtId="0" fontId="4" fillId="7" borderId="1" xfId="4" applyFill="1" applyBorder="1">
      <alignment vertical="center"/>
    </xf>
    <xf numFmtId="0" fontId="7" fillId="8" borderId="0" xfId="3" applyFill="1">
      <alignment vertical="center"/>
    </xf>
    <xf numFmtId="0" fontId="0" fillId="8" borderId="0" xfId="3" applyFont="1" applyFill="1">
      <alignment vertical="center"/>
    </xf>
    <xf numFmtId="14" fontId="7" fillId="8" borderId="0" xfId="3" applyNumberFormat="1" applyFill="1">
      <alignment vertical="center"/>
    </xf>
    <xf numFmtId="9" fontId="0" fillId="9" borderId="2" xfId="2" applyFont="1" applyFill="1" applyBorder="1">
      <alignment vertical="center"/>
    </xf>
    <xf numFmtId="0" fontId="0" fillId="9" borderId="2" xfId="0" applyFill="1" applyBorder="1">
      <alignment vertical="center"/>
    </xf>
    <xf numFmtId="0" fontId="4" fillId="10" borderId="1" xfId="4" applyFill="1" applyBorder="1">
      <alignment vertical="center"/>
    </xf>
    <xf numFmtId="14" fontId="0" fillId="9" borderId="2" xfId="0" applyNumberFormat="1" applyFill="1" applyBorder="1">
      <alignment vertical="center"/>
    </xf>
    <xf numFmtId="0" fontId="0" fillId="9" borderId="2" xfId="0" applyFill="1" applyBorder="1" applyAlignment="1">
      <alignment horizontal="center" vertical="center"/>
    </xf>
    <xf numFmtId="176" fontId="0" fillId="9" borderId="2" xfId="0" applyNumberFormat="1" applyFill="1" applyBorder="1" applyAlignment="1">
      <alignment horizontal="right" vertical="center"/>
    </xf>
    <xf numFmtId="0" fontId="0" fillId="5" borderId="0" xfId="3" quotePrefix="1" applyFont="1">
      <alignment vertical="center"/>
    </xf>
  </cellXfs>
  <cellStyles count="5">
    <cellStyle name="20% - 강조색5" xfId="3" builtinId="46"/>
    <cellStyle name="강조색1" xfId="4" builtinId="29"/>
    <cellStyle name="백분율" xfId="2" builtinId="5"/>
    <cellStyle name="출력" xfId="1" builtinId="21"/>
    <cellStyle name="표준" xfId="0" builtinId="0"/>
  </cellStyles>
  <dxfs count="69">
    <dxf>
      <fill>
        <patternFill>
          <bgColor rgb="FFDEF0C8"/>
        </patternFill>
      </fill>
    </dxf>
    <dxf>
      <fill>
        <patternFill>
          <bgColor rgb="FFDEF0C8"/>
        </patternFill>
      </fill>
    </dxf>
    <dxf>
      <fill>
        <patternFill>
          <bgColor rgb="FFDEF5DB"/>
        </patternFill>
      </fill>
    </dxf>
    <dxf>
      <fill>
        <patternFill>
          <bgColor theme="7" tint="0.79998168889431442"/>
        </patternFill>
      </fill>
    </dxf>
    <dxf>
      <fill>
        <patternFill>
          <bgColor rgb="FFCCFFFF"/>
        </patternFill>
      </fill>
    </dxf>
    <dxf>
      <fill>
        <patternFill>
          <bgColor theme="9" tint="0.79998168889431442"/>
        </patternFill>
      </fill>
    </dxf>
    <dxf>
      <fill>
        <patternFill>
          <bgColor rgb="FFCCEC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 patternType="none">
          <bgColor auto="1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34998626667073579"/>
      </font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rgb="FFDEF0C8"/>
        </patternFill>
      </fill>
    </dxf>
    <dxf>
      <fill>
        <patternFill>
          <bgColor rgb="FFDEF0C8"/>
        </patternFill>
      </fill>
    </dxf>
    <dxf>
      <fill>
        <patternFill>
          <bgColor rgb="FFDEF5DB"/>
        </patternFill>
      </fill>
    </dxf>
    <dxf>
      <fill>
        <patternFill>
          <bgColor theme="7" tint="0.79998168889431442"/>
        </patternFill>
      </fill>
    </dxf>
    <dxf>
      <fill>
        <patternFill>
          <bgColor rgb="FFCCFFFF"/>
        </patternFill>
      </fill>
    </dxf>
    <dxf>
      <fill>
        <patternFill>
          <bgColor theme="9" tint="0.79998168889431442"/>
        </patternFill>
      </fill>
    </dxf>
    <dxf>
      <fill>
        <patternFill>
          <bgColor rgb="FFCCEC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 patternType="none">
          <bgColor auto="1"/>
        </patternFill>
      </fill>
    </dxf>
    <dxf>
      <fill>
        <patternFill>
          <bgColor rgb="FFDEF0C8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 patternType="none">
          <bgColor auto="1"/>
        </patternFill>
      </fill>
    </dxf>
    <dxf>
      <fill>
        <patternFill>
          <bgColor rgb="FFDEF5DB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 patternType="none">
          <bgColor auto="1"/>
        </patternFill>
      </fill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CCECFF"/>
        </patternFill>
      </fill>
    </dxf>
    <dxf>
      <fill>
        <patternFill>
          <bgColor rgb="FFCCFFFF"/>
        </patternFill>
      </fill>
    </dxf>
    <dxf>
      <font>
        <color theme="0" tint="-0.34998626667073579"/>
      </font>
    </dxf>
    <dxf>
      <fill>
        <patternFill>
          <bgColor rgb="FFDEF0C8"/>
        </patternFill>
      </fill>
    </dxf>
    <dxf>
      <font>
        <color rgb="FFE91B05"/>
      </font>
    </dxf>
    <dxf>
      <fill>
        <patternFill>
          <bgColor rgb="FFDEF5DB"/>
        </patternFill>
      </fill>
    </dxf>
    <dxf>
      <font>
        <color theme="0" tint="-0.34998626667073579"/>
      </font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E91B05"/>
      </font>
    </dxf>
    <dxf>
      <fill>
        <patternFill>
          <bgColor rgb="FFDEF5DB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E91B05"/>
      </font>
    </dxf>
    <dxf>
      <fill>
        <patternFill>
          <bgColor rgb="FFDEF5DB"/>
        </patternFill>
      </fill>
    </dxf>
  </dxfs>
  <tableStyles count="0" defaultTableStyle="TableStyleMedium2" defaultPivotStyle="PivotStyleLight16"/>
  <colors>
    <mruColors>
      <color rgb="FFFFCC66"/>
      <color rgb="FFDEF0C8"/>
      <color rgb="FFCFFD97"/>
      <color rgb="FFDCFFB1"/>
      <color rgb="FFCCECFF"/>
      <color rgb="FFFFFFCC"/>
      <color rgb="FFCCFFFF"/>
      <color rgb="FFFFFF66"/>
      <color rgb="FFE91B05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전체질문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0</xdr:rowOff>
        </xdr:from>
        <xdr:to>
          <xdr:col>3</xdr:col>
          <xdr:colOff>2316480</xdr:colOff>
          <xdr:row>3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0</xdr:rowOff>
        </xdr:from>
        <xdr:to>
          <xdr:col>4</xdr:col>
          <xdr:colOff>259080</xdr:colOff>
          <xdr:row>3</xdr:row>
          <xdr:rowOff>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0</xdr:rowOff>
        </xdr:from>
        <xdr:to>
          <xdr:col>3</xdr:col>
          <xdr:colOff>1417320</xdr:colOff>
          <xdr:row>3</xdr:row>
          <xdr:rowOff>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7620</xdr:rowOff>
        </xdr:from>
        <xdr:to>
          <xdr:col>3</xdr:col>
          <xdr:colOff>2316480</xdr:colOff>
          <xdr:row>3</xdr:row>
          <xdr:rowOff>7620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7620</xdr:rowOff>
        </xdr:from>
        <xdr:to>
          <xdr:col>4</xdr:col>
          <xdr:colOff>259080</xdr:colOff>
          <xdr:row>3</xdr:row>
          <xdr:rowOff>7620</xdr:rowOff>
        </xdr:to>
        <xdr:sp macro="" textlink="">
          <xdr:nvSpPr>
            <xdr:cNvPr id="21514" name="Button 10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7620</xdr:rowOff>
        </xdr:from>
        <xdr:to>
          <xdr:col>3</xdr:col>
          <xdr:colOff>1417320</xdr:colOff>
          <xdr:row>3</xdr:row>
          <xdr:rowOff>7620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0</xdr:rowOff>
        </xdr:from>
        <xdr:to>
          <xdr:col>3</xdr:col>
          <xdr:colOff>2316480</xdr:colOff>
          <xdr:row>3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0</xdr:rowOff>
        </xdr:from>
        <xdr:to>
          <xdr:col>4</xdr:col>
          <xdr:colOff>259080</xdr:colOff>
          <xdr:row>3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0</xdr:rowOff>
        </xdr:from>
        <xdr:to>
          <xdr:col>3</xdr:col>
          <xdr:colOff>1417320</xdr:colOff>
          <xdr:row>3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0</xdr:rowOff>
        </xdr:from>
        <xdr:to>
          <xdr:col>3</xdr:col>
          <xdr:colOff>2316480</xdr:colOff>
          <xdr:row>3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0</xdr:rowOff>
        </xdr:from>
        <xdr:to>
          <xdr:col>4</xdr:col>
          <xdr:colOff>259080</xdr:colOff>
          <xdr:row>3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0</xdr:rowOff>
        </xdr:from>
        <xdr:to>
          <xdr:col>3</xdr:col>
          <xdr:colOff>1417320</xdr:colOff>
          <xdr:row>3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1630680</xdr:colOff>
          <xdr:row>0</xdr:row>
          <xdr:rowOff>0</xdr:rowOff>
        </xdr:from>
        <xdr:to>
          <xdr:col>3</xdr:col>
          <xdr:colOff>2316480</xdr:colOff>
          <xdr:row>3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특정번호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464820</xdr:colOff>
          <xdr:row>0</xdr:row>
          <xdr:rowOff>0</xdr:rowOff>
        </xdr:from>
        <xdr:to>
          <xdr:col>5</xdr:col>
          <xdr:colOff>464820</xdr:colOff>
          <xdr:row>3</xdr:row>
          <xdr:rowOff>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오답률순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2522220</xdr:colOff>
          <xdr:row>0</xdr:row>
          <xdr:rowOff>0</xdr:rowOff>
        </xdr:from>
        <xdr:to>
          <xdr:col>4</xdr:col>
          <xdr:colOff>259080</xdr:colOff>
          <xdr:row>3</xdr:row>
          <xdr:rowOff>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랜덤문제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0</xdr:row>
          <xdr:rowOff>0</xdr:rowOff>
        </xdr:from>
        <xdr:to>
          <xdr:col>3</xdr:col>
          <xdr:colOff>1417320</xdr:colOff>
          <xdr:row>3</xdr:row>
          <xdr:rowOff>0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Shuffle!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30726" name="Button 6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완료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30728" name="Button 8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미학습순</a:t>
              </a:r>
            </a:p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0" Type="http://schemas.openxmlformats.org/officeDocument/2006/relationships/ctrlProp" Target="../ctrlProps/ctrlProp33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-0.499984740745262"/>
  </sheetPr>
  <dimension ref="A1:K105"/>
  <sheetViews>
    <sheetView showGridLines="0" zoomScale="80" zoomScaleNormal="80" workbookViewId="0">
      <selection activeCell="D11" sqref="D11"/>
    </sheetView>
  </sheetViews>
  <sheetFormatPr defaultRowHeight="17.399999999999999" x14ac:dyDescent="0.4"/>
  <cols>
    <col min="3" max="4" width="58.5" customWidth="1"/>
  </cols>
  <sheetData>
    <row r="1" spans="1:11" s="2" customFormat="1" x14ac:dyDescent="0.4">
      <c r="B1" s="2" t="s">
        <v>5</v>
      </c>
      <c r="C1" s="2" t="s">
        <v>35</v>
      </c>
    </row>
    <row r="2" spans="1:11" s="2" customFormat="1" ht="16.5" x14ac:dyDescent="0.3">
      <c r="B2" s="2" t="s">
        <v>6</v>
      </c>
    </row>
    <row r="3" spans="1:11" s="2" customFormat="1" ht="16.5" x14ac:dyDescent="0.3"/>
    <row r="4" spans="1:11" x14ac:dyDescent="0.4">
      <c r="A4" s="3" t="s">
        <v>1</v>
      </c>
      <c r="B4" s="4" t="s">
        <v>2</v>
      </c>
      <c r="C4" s="4" t="s">
        <v>3</v>
      </c>
      <c r="D4" s="4" t="s">
        <v>4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</row>
    <row r="5" spans="1:11" x14ac:dyDescent="0.4">
      <c r="A5">
        <v>1</v>
      </c>
      <c r="B5" t="s">
        <v>5</v>
      </c>
      <c r="C5" t="s">
        <v>7</v>
      </c>
      <c r="D5" t="s">
        <v>8</v>
      </c>
      <c r="E5" s="5"/>
    </row>
    <row r="6" spans="1:11" x14ac:dyDescent="0.4">
      <c r="A6">
        <v>2</v>
      </c>
      <c r="B6" s="2" t="s">
        <v>5</v>
      </c>
      <c r="C6" t="s">
        <v>33</v>
      </c>
      <c r="D6" t="s">
        <v>34</v>
      </c>
    </row>
    <row r="7" spans="1:11" x14ac:dyDescent="0.4">
      <c r="A7">
        <v>3</v>
      </c>
      <c r="B7" t="s">
        <v>5</v>
      </c>
      <c r="C7" t="s">
        <v>9</v>
      </c>
      <c r="D7" t="s">
        <v>10</v>
      </c>
      <c r="E7" s="5" t="s">
        <v>30</v>
      </c>
      <c r="F7" s="5" t="s">
        <v>29</v>
      </c>
    </row>
    <row r="8" spans="1:11" x14ac:dyDescent="0.4">
      <c r="A8">
        <v>4</v>
      </c>
      <c r="B8" t="s">
        <v>5</v>
      </c>
      <c r="C8" t="s">
        <v>11</v>
      </c>
      <c r="D8" t="s">
        <v>12</v>
      </c>
      <c r="E8" s="5" t="s">
        <v>31</v>
      </c>
      <c r="F8" t="s">
        <v>32</v>
      </c>
    </row>
    <row r="9" spans="1:11" x14ac:dyDescent="0.4">
      <c r="A9">
        <v>5</v>
      </c>
      <c r="B9" t="s">
        <v>6</v>
      </c>
      <c r="C9" t="s">
        <v>14</v>
      </c>
      <c r="D9" t="s">
        <v>15</v>
      </c>
      <c r="E9" s="5"/>
    </row>
    <row r="10" spans="1:11" x14ac:dyDescent="0.4">
      <c r="A10">
        <v>6</v>
      </c>
      <c r="B10" t="s">
        <v>5</v>
      </c>
      <c r="C10" t="s">
        <v>16</v>
      </c>
      <c r="D10" t="s">
        <v>17</v>
      </c>
      <c r="E10" s="5"/>
    </row>
    <row r="11" spans="1:11" x14ac:dyDescent="0.4">
      <c r="A11">
        <v>7</v>
      </c>
      <c r="B11" t="s">
        <v>5</v>
      </c>
      <c r="C11" t="s">
        <v>19</v>
      </c>
      <c r="D11" t="s">
        <v>18</v>
      </c>
      <c r="E11" s="5"/>
    </row>
    <row r="12" spans="1:11" x14ac:dyDescent="0.4">
      <c r="A12">
        <v>8</v>
      </c>
      <c r="B12" t="s">
        <v>6</v>
      </c>
      <c r="C12" t="s">
        <v>21</v>
      </c>
      <c r="D12" t="s">
        <v>20</v>
      </c>
      <c r="E12" s="5"/>
    </row>
    <row r="13" spans="1:11" x14ac:dyDescent="0.4">
      <c r="A13">
        <v>9</v>
      </c>
      <c r="B13" t="s">
        <v>5</v>
      </c>
      <c r="C13" t="s">
        <v>22</v>
      </c>
      <c r="D13" t="s">
        <v>23</v>
      </c>
      <c r="E13" s="5"/>
    </row>
    <row r="14" spans="1:11" x14ac:dyDescent="0.4">
      <c r="A14">
        <v>10</v>
      </c>
      <c r="B14" t="s">
        <v>5</v>
      </c>
      <c r="C14" t="s">
        <v>24</v>
      </c>
      <c r="D14" t="s">
        <v>25</v>
      </c>
      <c r="E14" s="5"/>
    </row>
    <row r="15" spans="1:11" x14ac:dyDescent="0.4">
      <c r="A15">
        <v>11</v>
      </c>
      <c r="B15" t="s">
        <v>5</v>
      </c>
      <c r="C15" t="s">
        <v>36</v>
      </c>
      <c r="D15" t="s">
        <v>43</v>
      </c>
      <c r="E15" s="5"/>
    </row>
    <row r="16" spans="1:11" x14ac:dyDescent="0.4">
      <c r="A16">
        <v>12</v>
      </c>
      <c r="B16" t="s">
        <v>5</v>
      </c>
      <c r="C16" t="s">
        <v>37</v>
      </c>
      <c r="D16" t="s">
        <v>44</v>
      </c>
      <c r="E16" s="5"/>
    </row>
    <row r="17" spans="1:5" x14ac:dyDescent="0.4">
      <c r="A17">
        <v>13</v>
      </c>
      <c r="B17" t="s">
        <v>5</v>
      </c>
      <c r="C17" t="s">
        <v>39</v>
      </c>
      <c r="D17" t="s">
        <v>38</v>
      </c>
      <c r="E17" s="5"/>
    </row>
    <row r="18" spans="1:5" x14ac:dyDescent="0.4">
      <c r="A18">
        <v>14</v>
      </c>
      <c r="B18" t="s">
        <v>5</v>
      </c>
      <c r="C18" t="s">
        <v>47</v>
      </c>
      <c r="D18" t="s">
        <v>48</v>
      </c>
      <c r="E18" s="5"/>
    </row>
    <row r="19" spans="1:5" x14ac:dyDescent="0.4">
      <c r="A19">
        <v>15</v>
      </c>
      <c r="B19" t="s">
        <v>5</v>
      </c>
      <c r="C19" t="s">
        <v>45</v>
      </c>
      <c r="D19" t="s">
        <v>46</v>
      </c>
      <c r="E19" s="5"/>
    </row>
    <row r="20" spans="1:5" ht="16.5" x14ac:dyDescent="0.3">
      <c r="A20">
        <v>16</v>
      </c>
      <c r="E20" s="5"/>
    </row>
    <row r="21" spans="1:5" ht="16.5" x14ac:dyDescent="0.3">
      <c r="A21">
        <v>17</v>
      </c>
      <c r="E21" s="5"/>
    </row>
    <row r="22" spans="1:5" ht="16.5" x14ac:dyDescent="0.3">
      <c r="A22">
        <v>18</v>
      </c>
      <c r="E22" s="5"/>
    </row>
    <row r="23" spans="1:5" ht="16.5" x14ac:dyDescent="0.3">
      <c r="A23">
        <v>19</v>
      </c>
      <c r="E23" s="5"/>
    </row>
    <row r="24" spans="1:5" ht="16.5" x14ac:dyDescent="0.3">
      <c r="A24">
        <v>20</v>
      </c>
      <c r="E24" s="5"/>
    </row>
    <row r="25" spans="1:5" ht="16.5" x14ac:dyDescent="0.3">
      <c r="A25">
        <v>21</v>
      </c>
      <c r="E25" s="5"/>
    </row>
    <row r="26" spans="1:5" ht="16.5" x14ac:dyDescent="0.3">
      <c r="A26">
        <v>22</v>
      </c>
      <c r="E26" s="5"/>
    </row>
    <row r="27" spans="1:5" ht="16.5" x14ac:dyDescent="0.3">
      <c r="A27">
        <v>23</v>
      </c>
      <c r="E27" s="5"/>
    </row>
    <row r="28" spans="1:5" ht="16.5" x14ac:dyDescent="0.3">
      <c r="A28">
        <v>24</v>
      </c>
      <c r="E28" s="5"/>
    </row>
    <row r="29" spans="1:5" ht="16.5" x14ac:dyDescent="0.3">
      <c r="A29">
        <v>25</v>
      </c>
      <c r="E29" s="5"/>
    </row>
    <row r="30" spans="1:5" ht="16.5" x14ac:dyDescent="0.3">
      <c r="A30">
        <v>26</v>
      </c>
      <c r="E30" s="5"/>
    </row>
    <row r="31" spans="1:5" ht="16.5" x14ac:dyDescent="0.3">
      <c r="A31">
        <v>27</v>
      </c>
      <c r="E31" s="5"/>
    </row>
    <row r="32" spans="1:5" ht="16.5" x14ac:dyDescent="0.3">
      <c r="A32">
        <v>28</v>
      </c>
      <c r="E32" s="5"/>
    </row>
    <row r="33" spans="1:5" ht="16.5" x14ac:dyDescent="0.3">
      <c r="A33">
        <v>29</v>
      </c>
      <c r="E33" s="5"/>
    </row>
    <row r="34" spans="1:5" ht="16.5" x14ac:dyDescent="0.3">
      <c r="A34">
        <v>30</v>
      </c>
      <c r="E34" s="5"/>
    </row>
    <row r="35" spans="1:5" ht="16.5" x14ac:dyDescent="0.3">
      <c r="A35">
        <v>31</v>
      </c>
      <c r="E35" s="5"/>
    </row>
    <row r="36" spans="1:5" ht="16.5" x14ac:dyDescent="0.3">
      <c r="A36">
        <v>32</v>
      </c>
      <c r="E36" s="5"/>
    </row>
    <row r="37" spans="1:5" ht="16.5" x14ac:dyDescent="0.3">
      <c r="A37">
        <v>33</v>
      </c>
      <c r="E37" s="5"/>
    </row>
    <row r="38" spans="1:5" ht="16.5" x14ac:dyDescent="0.3">
      <c r="A38">
        <v>34</v>
      </c>
      <c r="E38" s="5"/>
    </row>
    <row r="39" spans="1:5" ht="16.5" x14ac:dyDescent="0.3">
      <c r="A39">
        <v>35</v>
      </c>
      <c r="E39" s="5"/>
    </row>
    <row r="40" spans="1:5" x14ac:dyDescent="0.4">
      <c r="A40">
        <v>36</v>
      </c>
      <c r="E40" s="5"/>
    </row>
    <row r="41" spans="1:5" x14ac:dyDescent="0.4">
      <c r="A41">
        <v>37</v>
      </c>
      <c r="E41" s="5"/>
    </row>
    <row r="42" spans="1:5" x14ac:dyDescent="0.4">
      <c r="A42">
        <v>38</v>
      </c>
      <c r="E42" s="5"/>
    </row>
    <row r="43" spans="1:5" x14ac:dyDescent="0.4">
      <c r="A43">
        <v>39</v>
      </c>
      <c r="E43" s="5"/>
    </row>
    <row r="44" spans="1:5" x14ac:dyDescent="0.4">
      <c r="A44">
        <v>40</v>
      </c>
      <c r="E44" s="5"/>
    </row>
    <row r="45" spans="1:5" x14ac:dyDescent="0.4">
      <c r="A45">
        <v>41</v>
      </c>
      <c r="E45" s="5"/>
    </row>
    <row r="46" spans="1:5" x14ac:dyDescent="0.4">
      <c r="A46">
        <v>42</v>
      </c>
      <c r="E46" s="5"/>
    </row>
    <row r="47" spans="1:5" x14ac:dyDescent="0.4">
      <c r="A47">
        <v>43</v>
      </c>
      <c r="E47" s="5"/>
    </row>
    <row r="48" spans="1:5" x14ac:dyDescent="0.4">
      <c r="A48">
        <v>44</v>
      </c>
      <c r="E48" s="5"/>
    </row>
    <row r="49" spans="1:5" x14ac:dyDescent="0.4">
      <c r="A49">
        <v>45</v>
      </c>
      <c r="E49" s="5"/>
    </row>
    <row r="50" spans="1:5" x14ac:dyDescent="0.4">
      <c r="A50">
        <v>46</v>
      </c>
      <c r="E50" s="5"/>
    </row>
    <row r="51" spans="1:5" x14ac:dyDescent="0.4">
      <c r="A51">
        <v>47</v>
      </c>
      <c r="E51" s="5"/>
    </row>
    <row r="52" spans="1:5" x14ac:dyDescent="0.4">
      <c r="A52">
        <v>48</v>
      </c>
      <c r="E52" s="5"/>
    </row>
    <row r="53" spans="1:5" x14ac:dyDescent="0.4">
      <c r="A53">
        <v>49</v>
      </c>
      <c r="E53" s="5"/>
    </row>
    <row r="54" spans="1:5" x14ac:dyDescent="0.4">
      <c r="A54">
        <v>50</v>
      </c>
      <c r="E54" s="5"/>
    </row>
    <row r="55" spans="1:5" x14ac:dyDescent="0.4">
      <c r="A55">
        <v>51</v>
      </c>
      <c r="E55" s="5"/>
    </row>
    <row r="56" spans="1:5" x14ac:dyDescent="0.4">
      <c r="A56">
        <v>52</v>
      </c>
      <c r="E56" s="5"/>
    </row>
    <row r="57" spans="1:5" x14ac:dyDescent="0.4">
      <c r="A57">
        <v>53</v>
      </c>
      <c r="E57" s="5"/>
    </row>
    <row r="58" spans="1:5" x14ac:dyDescent="0.4">
      <c r="A58">
        <v>54</v>
      </c>
      <c r="E58" s="5"/>
    </row>
    <row r="59" spans="1:5" x14ac:dyDescent="0.4">
      <c r="A59">
        <v>55</v>
      </c>
      <c r="E59" s="5"/>
    </row>
    <row r="60" spans="1:5" x14ac:dyDescent="0.4">
      <c r="A60">
        <v>56</v>
      </c>
      <c r="E60" s="5"/>
    </row>
    <row r="61" spans="1:5" x14ac:dyDescent="0.4">
      <c r="A61">
        <v>57</v>
      </c>
      <c r="E61" s="5"/>
    </row>
    <row r="62" spans="1:5" x14ac:dyDescent="0.4">
      <c r="A62">
        <v>58</v>
      </c>
      <c r="E62" s="5"/>
    </row>
    <row r="63" spans="1:5" x14ac:dyDescent="0.4">
      <c r="A63">
        <v>59</v>
      </c>
      <c r="E63" s="5"/>
    </row>
    <row r="64" spans="1:5" x14ac:dyDescent="0.4">
      <c r="A64">
        <v>60</v>
      </c>
      <c r="E64" s="5"/>
    </row>
    <row r="65" spans="1:5" x14ac:dyDescent="0.4">
      <c r="A65">
        <v>61</v>
      </c>
      <c r="E65" s="5"/>
    </row>
    <row r="66" spans="1:5" x14ac:dyDescent="0.4">
      <c r="A66">
        <v>62</v>
      </c>
      <c r="E66" s="5"/>
    </row>
    <row r="67" spans="1:5" x14ac:dyDescent="0.4">
      <c r="A67">
        <v>63</v>
      </c>
      <c r="E67" s="5"/>
    </row>
    <row r="68" spans="1:5" x14ac:dyDescent="0.4">
      <c r="A68">
        <v>64</v>
      </c>
      <c r="E68" s="5"/>
    </row>
    <row r="69" spans="1:5" x14ac:dyDescent="0.4">
      <c r="A69">
        <v>65</v>
      </c>
      <c r="E69" s="5"/>
    </row>
    <row r="70" spans="1:5" x14ac:dyDescent="0.4">
      <c r="A70">
        <v>66</v>
      </c>
      <c r="E70" s="5"/>
    </row>
    <row r="71" spans="1:5" x14ac:dyDescent="0.4">
      <c r="A71">
        <v>67</v>
      </c>
      <c r="E71" s="5"/>
    </row>
    <row r="72" spans="1:5" x14ac:dyDescent="0.4">
      <c r="A72">
        <v>68</v>
      </c>
      <c r="E72" s="5"/>
    </row>
    <row r="73" spans="1:5" x14ac:dyDescent="0.4">
      <c r="A73">
        <v>69</v>
      </c>
      <c r="E73" s="5"/>
    </row>
    <row r="74" spans="1:5" x14ac:dyDescent="0.4">
      <c r="A74">
        <v>70</v>
      </c>
      <c r="E74" s="5"/>
    </row>
    <row r="75" spans="1:5" x14ac:dyDescent="0.4">
      <c r="A75">
        <v>71</v>
      </c>
      <c r="E75" s="5"/>
    </row>
    <row r="76" spans="1:5" x14ac:dyDescent="0.4">
      <c r="A76">
        <v>72</v>
      </c>
      <c r="E76" s="5"/>
    </row>
    <row r="77" spans="1:5" x14ac:dyDescent="0.4">
      <c r="A77">
        <v>73</v>
      </c>
      <c r="E77" s="5"/>
    </row>
    <row r="78" spans="1:5" x14ac:dyDescent="0.4">
      <c r="A78">
        <v>74</v>
      </c>
      <c r="E78" s="5"/>
    </row>
    <row r="79" spans="1:5" x14ac:dyDescent="0.4">
      <c r="A79">
        <v>75</v>
      </c>
      <c r="E79" s="5"/>
    </row>
    <row r="80" spans="1:5" x14ac:dyDescent="0.4">
      <c r="A80">
        <v>76</v>
      </c>
      <c r="E80" s="5"/>
    </row>
    <row r="81" spans="1:5" x14ac:dyDescent="0.4">
      <c r="A81">
        <v>77</v>
      </c>
      <c r="E81" s="5"/>
    </row>
    <row r="82" spans="1:5" x14ac:dyDescent="0.4">
      <c r="A82">
        <v>78</v>
      </c>
      <c r="E82" s="5"/>
    </row>
    <row r="83" spans="1:5" x14ac:dyDescent="0.4">
      <c r="A83">
        <v>79</v>
      </c>
      <c r="E83" s="5"/>
    </row>
    <row r="84" spans="1:5" x14ac:dyDescent="0.4">
      <c r="A84">
        <v>80</v>
      </c>
      <c r="E84" s="5"/>
    </row>
    <row r="85" spans="1:5" x14ac:dyDescent="0.4">
      <c r="A85">
        <v>81</v>
      </c>
      <c r="E85" s="5"/>
    </row>
    <row r="86" spans="1:5" x14ac:dyDescent="0.4">
      <c r="A86">
        <v>82</v>
      </c>
      <c r="E86" s="5"/>
    </row>
    <row r="87" spans="1:5" x14ac:dyDescent="0.4">
      <c r="A87">
        <v>83</v>
      </c>
      <c r="E87" s="5"/>
    </row>
    <row r="88" spans="1:5" x14ac:dyDescent="0.4">
      <c r="A88">
        <v>84</v>
      </c>
      <c r="E88" s="5"/>
    </row>
    <row r="89" spans="1:5" x14ac:dyDescent="0.4">
      <c r="A89">
        <v>85</v>
      </c>
      <c r="E89" s="5"/>
    </row>
    <row r="90" spans="1:5" x14ac:dyDescent="0.4">
      <c r="A90">
        <v>86</v>
      </c>
      <c r="E90" s="5"/>
    </row>
    <row r="91" spans="1:5" x14ac:dyDescent="0.4">
      <c r="A91">
        <v>87</v>
      </c>
      <c r="E91" s="5"/>
    </row>
    <row r="92" spans="1:5" x14ac:dyDescent="0.4">
      <c r="A92">
        <v>88</v>
      </c>
      <c r="E92" s="5"/>
    </row>
    <row r="93" spans="1:5" x14ac:dyDescent="0.4">
      <c r="A93">
        <v>89</v>
      </c>
      <c r="E93" s="5"/>
    </row>
    <row r="94" spans="1:5" x14ac:dyDescent="0.4">
      <c r="A94">
        <v>90</v>
      </c>
      <c r="E94" s="5"/>
    </row>
    <row r="95" spans="1:5" x14ac:dyDescent="0.4">
      <c r="A95">
        <v>91</v>
      </c>
      <c r="E95" s="5"/>
    </row>
    <row r="96" spans="1:5" x14ac:dyDescent="0.4">
      <c r="A96">
        <v>92</v>
      </c>
      <c r="E96" s="5"/>
    </row>
    <row r="97" spans="1:6" x14ac:dyDescent="0.4">
      <c r="A97">
        <v>93</v>
      </c>
      <c r="E97" s="5"/>
    </row>
    <row r="98" spans="1:6" x14ac:dyDescent="0.4">
      <c r="A98">
        <v>94</v>
      </c>
      <c r="E98" s="5"/>
    </row>
    <row r="99" spans="1:6" x14ac:dyDescent="0.4">
      <c r="A99">
        <v>95</v>
      </c>
      <c r="E99" s="5"/>
    </row>
    <row r="100" spans="1:6" x14ac:dyDescent="0.4">
      <c r="A100">
        <v>96</v>
      </c>
      <c r="E100" s="5"/>
    </row>
    <row r="101" spans="1:6" x14ac:dyDescent="0.4">
      <c r="A101">
        <v>97</v>
      </c>
      <c r="E101" s="5"/>
    </row>
    <row r="102" spans="1:6" x14ac:dyDescent="0.4">
      <c r="A102">
        <v>98</v>
      </c>
      <c r="E102" s="5"/>
    </row>
    <row r="103" spans="1:6" x14ac:dyDescent="0.4">
      <c r="A103">
        <v>99</v>
      </c>
      <c r="E103" s="5"/>
    </row>
    <row r="104" spans="1:6" x14ac:dyDescent="0.4">
      <c r="A104">
        <v>100</v>
      </c>
      <c r="E104" s="5"/>
    </row>
    <row r="105" spans="1:6" x14ac:dyDescent="0.4">
      <c r="A105" t="s">
        <v>13</v>
      </c>
      <c r="B105" t="s">
        <v>13</v>
      </c>
      <c r="C105" t="s">
        <v>13</v>
      </c>
      <c r="D105" t="s">
        <v>13</v>
      </c>
      <c r="E105" t="s">
        <v>13</v>
      </c>
      <c r="F105" t="s">
        <v>13</v>
      </c>
    </row>
  </sheetData>
  <phoneticPr fontId="1" type="noConversion"/>
  <conditionalFormatting sqref="A5:G1046">
    <cfRule type="expression" dxfId="68" priority="4">
      <formula>MOD(ROW(),2)=1</formula>
    </cfRule>
  </conditionalFormatting>
  <conditionalFormatting sqref="E5:F5 E7:F104">
    <cfRule type="notContainsBlanks" dxfId="67" priority="1">
      <formula>LEN(TRIM(E5))&gt;0</formula>
    </cfRule>
  </conditionalFormatting>
  <conditionalFormatting sqref="B5:B104">
    <cfRule type="containsText" dxfId="66" priority="2" operator="containsText" text="extra">
      <formula>NOT(ISERROR(SEARCH("extra",B5)))</formula>
    </cfRule>
    <cfRule type="containsText" dxfId="65" priority="3" operator="containsText" text="jmc">
      <formula>NOT(ISERROR(SEARCH("jmc",B5)))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8" tint="-0.499984740745262"/>
  </sheetPr>
  <dimension ref="A1:O1045"/>
  <sheetViews>
    <sheetView showGridLines="0" topLeftCell="A10" zoomScale="80" zoomScaleNormal="80" workbookViewId="0">
      <selection activeCell="A105" sqref="A105"/>
    </sheetView>
  </sheetViews>
  <sheetFormatPr defaultRowHeight="17.399999999999999" x14ac:dyDescent="0.4"/>
  <cols>
    <col min="3" max="4" width="38.3984375" customWidth="1"/>
    <col min="8" max="8" width="3.19921875" customWidth="1"/>
    <col min="12" max="12" width="3.19921875" bestFit="1" customWidth="1"/>
    <col min="13" max="13" width="3" bestFit="1" customWidth="1"/>
    <col min="14" max="14" width="4" bestFit="1" customWidth="1"/>
  </cols>
  <sheetData>
    <row r="1" spans="1:15" s="2" customFormat="1" x14ac:dyDescent="0.4">
      <c r="B1" s="2" t="s">
        <v>5</v>
      </c>
      <c r="C1" s="2" t="s">
        <v>88</v>
      </c>
      <c r="D1" s="2" t="s">
        <v>35</v>
      </c>
    </row>
    <row r="2" spans="1:15" s="2" customFormat="1" ht="16.5" x14ac:dyDescent="0.3">
      <c r="B2" s="2" t="s">
        <v>6</v>
      </c>
      <c r="C2" s="2" t="s">
        <v>89</v>
      </c>
    </row>
    <row r="3" spans="1:15" s="2" customFormat="1" ht="16.5" x14ac:dyDescent="0.3"/>
    <row r="4" spans="1:15" x14ac:dyDescent="0.4">
      <c r="A4" s="3" t="s">
        <v>1</v>
      </c>
      <c r="B4" s="4" t="s">
        <v>2</v>
      </c>
      <c r="C4" s="4" t="s">
        <v>3</v>
      </c>
      <c r="D4" s="4" t="s">
        <v>4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</row>
    <row r="5" spans="1:15" x14ac:dyDescent="0.4">
      <c r="A5">
        <v>1</v>
      </c>
      <c r="B5" t="s">
        <v>5</v>
      </c>
      <c r="C5" t="s">
        <v>7</v>
      </c>
      <c r="D5" t="s">
        <v>8</v>
      </c>
      <c r="E5" s="5"/>
      <c r="I5" t="s">
        <v>68</v>
      </c>
      <c r="J5" t="s">
        <v>69</v>
      </c>
      <c r="L5">
        <v>4</v>
      </c>
      <c r="M5">
        <v>1</v>
      </c>
      <c r="N5">
        <f>IFERROR(IF(L5+M5=0,"",L5+M5),"")</f>
        <v>5</v>
      </c>
      <c r="O5" s="6">
        <f t="shared" ref="O5:O36" si="0">IFERROR(L5/(M5+L5),"")</f>
        <v>0.8</v>
      </c>
    </row>
    <row r="6" spans="1:15" x14ac:dyDescent="0.4">
      <c r="A6">
        <v>2</v>
      </c>
      <c r="B6" s="2" t="s">
        <v>5</v>
      </c>
      <c r="C6" t="s">
        <v>33</v>
      </c>
      <c r="D6" t="s">
        <v>34</v>
      </c>
      <c r="I6" t="s">
        <v>68</v>
      </c>
      <c r="J6" t="s">
        <v>69</v>
      </c>
      <c r="L6">
        <v>6</v>
      </c>
      <c r="N6">
        <f t="shared" ref="N6:N69" si="1">IFERROR(IF(L6+M6=0,"",L6+M6),"")</f>
        <v>6</v>
      </c>
      <c r="O6" s="6">
        <f t="shared" si="0"/>
        <v>1</v>
      </c>
    </row>
    <row r="7" spans="1:15" x14ac:dyDescent="0.4">
      <c r="A7">
        <v>3</v>
      </c>
      <c r="B7" t="s">
        <v>5</v>
      </c>
      <c r="C7" t="s">
        <v>9</v>
      </c>
      <c r="D7" t="s">
        <v>10</v>
      </c>
      <c r="E7" s="5" t="s">
        <v>30</v>
      </c>
      <c r="F7" s="5" t="s">
        <v>29</v>
      </c>
      <c r="I7" t="s">
        <v>68</v>
      </c>
      <c r="J7" t="s">
        <v>69</v>
      </c>
      <c r="L7">
        <v>5</v>
      </c>
      <c r="N7">
        <f t="shared" si="1"/>
        <v>5</v>
      </c>
      <c r="O7" s="6">
        <f t="shared" si="0"/>
        <v>1</v>
      </c>
    </row>
    <row r="8" spans="1:15" x14ac:dyDescent="0.4">
      <c r="A8">
        <v>4</v>
      </c>
      <c r="B8" t="s">
        <v>5</v>
      </c>
      <c r="C8" t="s">
        <v>11</v>
      </c>
      <c r="D8" t="s">
        <v>49</v>
      </c>
      <c r="E8" s="5" t="s">
        <v>31</v>
      </c>
      <c r="F8" t="s">
        <v>32</v>
      </c>
      <c r="I8" t="s">
        <v>68</v>
      </c>
      <c r="J8" t="s">
        <v>69</v>
      </c>
      <c r="L8">
        <v>5</v>
      </c>
      <c r="M8">
        <v>3</v>
      </c>
      <c r="N8">
        <f t="shared" si="1"/>
        <v>8</v>
      </c>
      <c r="O8" s="6">
        <f t="shared" si="0"/>
        <v>0.625</v>
      </c>
    </row>
    <row r="9" spans="1:15" x14ac:dyDescent="0.4">
      <c r="A9">
        <v>5</v>
      </c>
      <c r="B9" t="s">
        <v>6</v>
      </c>
      <c r="C9" t="s">
        <v>14</v>
      </c>
      <c r="D9" t="s">
        <v>15</v>
      </c>
      <c r="E9" s="5"/>
      <c r="I9" t="s">
        <v>68</v>
      </c>
      <c r="J9" t="s">
        <v>69</v>
      </c>
      <c r="L9">
        <v>3</v>
      </c>
      <c r="M9">
        <v>3</v>
      </c>
      <c r="N9">
        <f t="shared" si="1"/>
        <v>6</v>
      </c>
      <c r="O9" s="6">
        <f t="shared" si="0"/>
        <v>0.5</v>
      </c>
    </row>
    <row r="10" spans="1:15" x14ac:dyDescent="0.4">
      <c r="A10">
        <v>6</v>
      </c>
      <c r="B10" t="s">
        <v>5</v>
      </c>
      <c r="C10" t="s">
        <v>16</v>
      </c>
      <c r="D10" t="s">
        <v>17</v>
      </c>
      <c r="E10" s="5"/>
      <c r="I10" t="s">
        <v>68</v>
      </c>
      <c r="J10" t="s">
        <v>69</v>
      </c>
      <c r="L10">
        <v>3</v>
      </c>
      <c r="M10">
        <v>1</v>
      </c>
      <c r="N10">
        <f t="shared" si="1"/>
        <v>4</v>
      </c>
      <c r="O10" s="6">
        <f t="shared" si="0"/>
        <v>0.75</v>
      </c>
    </row>
    <row r="11" spans="1:15" x14ac:dyDescent="0.4">
      <c r="A11">
        <v>7</v>
      </c>
      <c r="B11" t="s">
        <v>5</v>
      </c>
      <c r="C11" t="s">
        <v>19</v>
      </c>
      <c r="D11" t="s">
        <v>50</v>
      </c>
      <c r="E11" s="5"/>
      <c r="I11" t="s">
        <v>68</v>
      </c>
      <c r="J11" t="s">
        <v>69</v>
      </c>
      <c r="L11">
        <v>2</v>
      </c>
      <c r="M11">
        <v>1</v>
      </c>
      <c r="N11">
        <f t="shared" si="1"/>
        <v>3</v>
      </c>
      <c r="O11" s="6">
        <f t="shared" si="0"/>
        <v>0.66666666666666663</v>
      </c>
    </row>
    <row r="12" spans="1:15" x14ac:dyDescent="0.4">
      <c r="A12">
        <v>8</v>
      </c>
      <c r="B12" t="s">
        <v>6</v>
      </c>
      <c r="C12" t="s">
        <v>21</v>
      </c>
      <c r="D12" t="s">
        <v>51</v>
      </c>
      <c r="E12" s="5"/>
      <c r="I12" t="s">
        <v>68</v>
      </c>
      <c r="J12" t="s">
        <v>69</v>
      </c>
      <c r="L12">
        <v>2</v>
      </c>
      <c r="M12">
        <v>3</v>
      </c>
      <c r="N12">
        <f t="shared" si="1"/>
        <v>5</v>
      </c>
      <c r="O12" s="6">
        <f t="shared" si="0"/>
        <v>0.4</v>
      </c>
    </row>
    <row r="13" spans="1:15" x14ac:dyDescent="0.4">
      <c r="A13">
        <v>9</v>
      </c>
      <c r="B13" t="s">
        <v>5</v>
      </c>
      <c r="C13" t="s">
        <v>22</v>
      </c>
      <c r="D13" t="s">
        <v>52</v>
      </c>
      <c r="E13" s="5"/>
      <c r="I13" t="s">
        <v>68</v>
      </c>
      <c r="J13" t="s">
        <v>69</v>
      </c>
      <c r="L13">
        <v>2</v>
      </c>
      <c r="M13">
        <v>2</v>
      </c>
      <c r="N13">
        <f t="shared" si="1"/>
        <v>4</v>
      </c>
      <c r="O13" s="6">
        <f t="shared" si="0"/>
        <v>0.5</v>
      </c>
    </row>
    <row r="14" spans="1:15" x14ac:dyDescent="0.4">
      <c r="A14">
        <v>10</v>
      </c>
      <c r="B14" t="s">
        <v>5</v>
      </c>
      <c r="C14" t="s">
        <v>24</v>
      </c>
      <c r="D14" t="s">
        <v>25</v>
      </c>
      <c r="E14" s="5"/>
      <c r="I14" t="s">
        <v>68</v>
      </c>
      <c r="J14" t="s">
        <v>69</v>
      </c>
      <c r="L14">
        <v>2</v>
      </c>
      <c r="M14">
        <v>1</v>
      </c>
      <c r="N14">
        <f t="shared" si="1"/>
        <v>3</v>
      </c>
      <c r="O14" s="6">
        <f t="shared" si="0"/>
        <v>0.66666666666666663</v>
      </c>
    </row>
    <row r="15" spans="1:15" x14ac:dyDescent="0.4">
      <c r="A15">
        <v>11</v>
      </c>
      <c r="B15" t="s">
        <v>5</v>
      </c>
      <c r="C15" t="s">
        <v>53</v>
      </c>
      <c r="D15" t="s">
        <v>54</v>
      </c>
      <c r="E15" s="5"/>
      <c r="I15" t="s">
        <v>68</v>
      </c>
      <c r="J15" t="s">
        <v>69</v>
      </c>
      <c r="L15">
        <v>2</v>
      </c>
      <c r="M15">
        <v>2</v>
      </c>
      <c r="N15">
        <f t="shared" si="1"/>
        <v>4</v>
      </c>
      <c r="O15" s="6">
        <f t="shared" si="0"/>
        <v>0.5</v>
      </c>
    </row>
    <row r="16" spans="1:15" x14ac:dyDescent="0.4">
      <c r="A16">
        <v>12</v>
      </c>
      <c r="B16" t="s">
        <v>5</v>
      </c>
      <c r="C16" t="s">
        <v>55</v>
      </c>
      <c r="D16" t="s">
        <v>44</v>
      </c>
      <c r="E16" s="5"/>
      <c r="I16" t="s">
        <v>68</v>
      </c>
      <c r="J16" t="s">
        <v>69</v>
      </c>
      <c r="L16">
        <v>2</v>
      </c>
      <c r="M16">
        <v>2</v>
      </c>
      <c r="N16">
        <f t="shared" si="1"/>
        <v>4</v>
      </c>
      <c r="O16" s="6">
        <f t="shared" si="0"/>
        <v>0.5</v>
      </c>
    </row>
    <row r="17" spans="1:15" x14ac:dyDescent="0.4">
      <c r="A17">
        <v>13</v>
      </c>
      <c r="B17" t="s">
        <v>5</v>
      </c>
      <c r="C17" t="s">
        <v>56</v>
      </c>
      <c r="D17" t="s">
        <v>85</v>
      </c>
      <c r="E17" s="5"/>
      <c r="I17" t="s">
        <v>68</v>
      </c>
      <c r="J17" t="s">
        <v>69</v>
      </c>
      <c r="L17">
        <v>1</v>
      </c>
      <c r="M17">
        <v>1</v>
      </c>
      <c r="N17">
        <f t="shared" si="1"/>
        <v>2</v>
      </c>
      <c r="O17" s="6">
        <f t="shared" si="0"/>
        <v>0.5</v>
      </c>
    </row>
    <row r="18" spans="1:15" x14ac:dyDescent="0.4">
      <c r="A18">
        <v>14</v>
      </c>
      <c r="B18" t="s">
        <v>5</v>
      </c>
      <c r="C18" t="s">
        <v>47</v>
      </c>
      <c r="D18" t="s">
        <v>57</v>
      </c>
      <c r="E18" s="5"/>
      <c r="I18" t="s">
        <v>68</v>
      </c>
      <c r="J18" t="s">
        <v>69</v>
      </c>
      <c r="L18">
        <v>1</v>
      </c>
      <c r="M18">
        <v>3</v>
      </c>
      <c r="N18">
        <f t="shared" si="1"/>
        <v>4</v>
      </c>
      <c r="O18" s="6">
        <f t="shared" si="0"/>
        <v>0.25</v>
      </c>
    </row>
    <row r="19" spans="1:15" x14ac:dyDescent="0.4">
      <c r="A19">
        <v>15</v>
      </c>
      <c r="B19" t="s">
        <v>5</v>
      </c>
      <c r="C19" t="s">
        <v>45</v>
      </c>
      <c r="D19" t="s">
        <v>46</v>
      </c>
      <c r="E19" s="5"/>
      <c r="I19" t="s">
        <v>68</v>
      </c>
      <c r="J19" t="s">
        <v>70</v>
      </c>
      <c r="L19">
        <v>1</v>
      </c>
      <c r="M19">
        <v>1</v>
      </c>
      <c r="N19">
        <f t="shared" si="1"/>
        <v>2</v>
      </c>
      <c r="O19" s="6">
        <f t="shared" si="0"/>
        <v>0.5</v>
      </c>
    </row>
    <row r="20" spans="1:15" x14ac:dyDescent="0.4">
      <c r="A20">
        <v>16</v>
      </c>
      <c r="B20" t="s">
        <v>58</v>
      </c>
      <c r="C20" t="s">
        <v>60</v>
      </c>
      <c r="D20" t="s">
        <v>59</v>
      </c>
      <c r="E20" s="5"/>
      <c r="I20" t="s">
        <v>68</v>
      </c>
      <c r="J20" t="s">
        <v>69</v>
      </c>
      <c r="L20">
        <v>1</v>
      </c>
      <c r="M20">
        <v>1</v>
      </c>
      <c r="N20">
        <f t="shared" si="1"/>
        <v>2</v>
      </c>
      <c r="O20" s="6">
        <f t="shared" si="0"/>
        <v>0.5</v>
      </c>
    </row>
    <row r="21" spans="1:15" x14ac:dyDescent="0.4">
      <c r="A21">
        <v>17</v>
      </c>
      <c r="B21" t="s">
        <v>58</v>
      </c>
      <c r="C21" t="s">
        <v>62</v>
      </c>
      <c r="D21" t="s">
        <v>61</v>
      </c>
      <c r="E21" s="5"/>
      <c r="I21" t="s">
        <v>68</v>
      </c>
      <c r="J21" t="s">
        <v>69</v>
      </c>
      <c r="L21">
        <v>1</v>
      </c>
      <c r="M21">
        <v>1</v>
      </c>
      <c r="N21">
        <f t="shared" si="1"/>
        <v>2</v>
      </c>
      <c r="O21" s="6">
        <f t="shared" si="0"/>
        <v>0.5</v>
      </c>
    </row>
    <row r="22" spans="1:15" x14ac:dyDescent="0.4">
      <c r="A22">
        <v>18</v>
      </c>
      <c r="B22" t="s">
        <v>58</v>
      </c>
      <c r="C22" t="s">
        <v>63</v>
      </c>
      <c r="D22" t="s">
        <v>64</v>
      </c>
      <c r="E22" s="5"/>
      <c r="I22" t="s">
        <v>68</v>
      </c>
      <c r="J22" t="s">
        <v>69</v>
      </c>
      <c r="L22">
        <v>1</v>
      </c>
      <c r="N22">
        <f t="shared" si="1"/>
        <v>1</v>
      </c>
      <c r="O22" s="6">
        <f t="shared" si="0"/>
        <v>1</v>
      </c>
    </row>
    <row r="23" spans="1:15" x14ac:dyDescent="0.4">
      <c r="A23">
        <v>19</v>
      </c>
      <c r="B23" t="s">
        <v>65</v>
      </c>
      <c r="C23" t="s">
        <v>66</v>
      </c>
      <c r="D23" t="s">
        <v>67</v>
      </c>
      <c r="E23" s="5"/>
      <c r="I23" t="s">
        <v>68</v>
      </c>
      <c r="J23" t="s">
        <v>69</v>
      </c>
      <c r="L23">
        <v>1</v>
      </c>
      <c r="N23">
        <f t="shared" si="1"/>
        <v>1</v>
      </c>
      <c r="O23" s="6">
        <f t="shared" si="0"/>
        <v>1</v>
      </c>
    </row>
    <row r="24" spans="1:15" x14ac:dyDescent="0.4">
      <c r="A24">
        <v>20</v>
      </c>
      <c r="B24" t="s">
        <v>58</v>
      </c>
      <c r="C24" t="s">
        <v>71</v>
      </c>
      <c r="D24" t="s">
        <v>82</v>
      </c>
      <c r="E24" s="5"/>
      <c r="I24" t="s">
        <v>72</v>
      </c>
      <c r="J24" t="s">
        <v>73</v>
      </c>
      <c r="L24">
        <v>1</v>
      </c>
      <c r="M24">
        <v>1</v>
      </c>
      <c r="N24">
        <f t="shared" si="1"/>
        <v>2</v>
      </c>
      <c r="O24" s="6">
        <f t="shared" si="0"/>
        <v>0.5</v>
      </c>
    </row>
    <row r="25" spans="1:15" x14ac:dyDescent="0.4">
      <c r="A25">
        <v>21</v>
      </c>
      <c r="B25" t="s">
        <v>58</v>
      </c>
      <c r="C25" t="s">
        <v>74</v>
      </c>
      <c r="D25" t="s">
        <v>75</v>
      </c>
      <c r="E25" s="5"/>
      <c r="I25" t="s">
        <v>72</v>
      </c>
      <c r="J25" t="s">
        <v>73</v>
      </c>
      <c r="L25">
        <v>1</v>
      </c>
      <c r="M25">
        <v>2</v>
      </c>
      <c r="N25">
        <f t="shared" si="1"/>
        <v>3</v>
      </c>
      <c r="O25" s="6">
        <f t="shared" si="0"/>
        <v>0.33333333333333331</v>
      </c>
    </row>
    <row r="26" spans="1:15" x14ac:dyDescent="0.4">
      <c r="A26">
        <v>22</v>
      </c>
      <c r="B26" t="s">
        <v>58</v>
      </c>
      <c r="C26" t="s">
        <v>76</v>
      </c>
      <c r="D26" t="s">
        <v>77</v>
      </c>
      <c r="E26" s="5"/>
      <c r="I26" t="s">
        <v>72</v>
      </c>
      <c r="J26" t="s">
        <v>73</v>
      </c>
      <c r="L26">
        <v>1</v>
      </c>
      <c r="M26">
        <v>2</v>
      </c>
      <c r="N26">
        <f t="shared" si="1"/>
        <v>3</v>
      </c>
      <c r="O26" s="6">
        <f t="shared" si="0"/>
        <v>0.33333333333333331</v>
      </c>
    </row>
    <row r="27" spans="1:15" x14ac:dyDescent="0.4">
      <c r="A27">
        <v>23</v>
      </c>
      <c r="B27" t="s">
        <v>58</v>
      </c>
      <c r="C27" t="s">
        <v>78</v>
      </c>
      <c r="D27" t="s">
        <v>79</v>
      </c>
      <c r="E27" s="5"/>
      <c r="I27" t="s">
        <v>72</v>
      </c>
      <c r="J27" t="s">
        <v>73</v>
      </c>
      <c r="L27">
        <v>1</v>
      </c>
      <c r="M27">
        <v>2</v>
      </c>
      <c r="N27">
        <f t="shared" si="1"/>
        <v>3</v>
      </c>
      <c r="O27" s="6">
        <f t="shared" si="0"/>
        <v>0.33333333333333331</v>
      </c>
    </row>
    <row r="28" spans="1:15" x14ac:dyDescent="0.4">
      <c r="A28">
        <v>24</v>
      </c>
      <c r="B28" t="s">
        <v>58</v>
      </c>
      <c r="C28" t="s">
        <v>80</v>
      </c>
      <c r="D28" t="s">
        <v>81</v>
      </c>
      <c r="E28" s="5"/>
      <c r="I28" t="s">
        <v>72</v>
      </c>
      <c r="J28" t="s">
        <v>73</v>
      </c>
      <c r="L28">
        <v>1</v>
      </c>
      <c r="M28">
        <v>1</v>
      </c>
      <c r="N28">
        <f t="shared" si="1"/>
        <v>2</v>
      </c>
      <c r="O28" s="6">
        <f t="shared" si="0"/>
        <v>0.5</v>
      </c>
    </row>
    <row r="29" spans="1:15" x14ac:dyDescent="0.4">
      <c r="A29">
        <v>25</v>
      </c>
      <c r="B29" t="s">
        <v>58</v>
      </c>
      <c r="C29" t="s">
        <v>83</v>
      </c>
      <c r="D29" t="s">
        <v>86</v>
      </c>
      <c r="E29" s="5"/>
      <c r="I29" t="s">
        <v>72</v>
      </c>
      <c r="J29" t="s">
        <v>73</v>
      </c>
      <c r="L29">
        <v>3</v>
      </c>
      <c r="M29">
        <v>3</v>
      </c>
      <c r="N29">
        <f t="shared" si="1"/>
        <v>6</v>
      </c>
      <c r="O29" s="6">
        <f t="shared" si="0"/>
        <v>0.5</v>
      </c>
    </row>
    <row r="30" spans="1:15" x14ac:dyDescent="0.4">
      <c r="A30">
        <v>26</v>
      </c>
      <c r="B30" t="s">
        <v>6</v>
      </c>
      <c r="C30" t="s">
        <v>90</v>
      </c>
      <c r="D30" t="s">
        <v>91</v>
      </c>
      <c r="E30" s="5"/>
      <c r="I30" t="s">
        <v>93</v>
      </c>
      <c r="J30" t="s">
        <v>92</v>
      </c>
      <c r="N30" t="str">
        <f t="shared" si="1"/>
        <v/>
      </c>
      <c r="O30" s="6" t="str">
        <f t="shared" si="0"/>
        <v/>
      </c>
    </row>
    <row r="31" spans="1:15" x14ac:dyDescent="0.4">
      <c r="A31">
        <v>27</v>
      </c>
      <c r="B31" t="s">
        <v>6</v>
      </c>
      <c r="C31" t="s">
        <v>95</v>
      </c>
      <c r="D31" t="s">
        <v>94</v>
      </c>
      <c r="E31" s="5"/>
      <c r="N31" t="str">
        <f t="shared" si="1"/>
        <v/>
      </c>
      <c r="O31" s="6" t="str">
        <f t="shared" si="0"/>
        <v/>
      </c>
    </row>
    <row r="32" spans="1:15" x14ac:dyDescent="0.4">
      <c r="A32">
        <v>28</v>
      </c>
      <c r="B32" t="s">
        <v>6</v>
      </c>
      <c r="C32" t="s">
        <v>96</v>
      </c>
      <c r="D32" t="s">
        <v>97</v>
      </c>
      <c r="E32" s="5"/>
      <c r="N32" t="str">
        <f t="shared" si="1"/>
        <v/>
      </c>
      <c r="O32" s="6" t="str">
        <f t="shared" si="0"/>
        <v/>
      </c>
    </row>
    <row r="33" spans="1:15" x14ac:dyDescent="0.4">
      <c r="A33">
        <v>29</v>
      </c>
      <c r="B33" t="s">
        <v>6</v>
      </c>
      <c r="C33" t="s">
        <v>98</v>
      </c>
      <c r="D33" t="s">
        <v>99</v>
      </c>
      <c r="E33" s="5"/>
      <c r="N33" t="str">
        <f t="shared" si="1"/>
        <v/>
      </c>
      <c r="O33" s="6" t="str">
        <f t="shared" si="0"/>
        <v/>
      </c>
    </row>
    <row r="34" spans="1:15" x14ac:dyDescent="0.4">
      <c r="A34">
        <v>30</v>
      </c>
      <c r="B34" t="s">
        <v>6</v>
      </c>
      <c r="C34" t="s">
        <v>100</v>
      </c>
      <c r="D34" t="s">
        <v>101</v>
      </c>
      <c r="E34" s="5"/>
      <c r="N34" t="str">
        <f t="shared" si="1"/>
        <v/>
      </c>
      <c r="O34" s="6" t="str">
        <f t="shared" si="0"/>
        <v/>
      </c>
    </row>
    <row r="35" spans="1:15" x14ac:dyDescent="0.4">
      <c r="A35">
        <v>31</v>
      </c>
      <c r="B35" t="s">
        <v>6</v>
      </c>
      <c r="C35" t="s">
        <v>102</v>
      </c>
      <c r="D35" t="s">
        <v>103</v>
      </c>
      <c r="E35" s="5"/>
      <c r="N35" t="str">
        <f t="shared" si="1"/>
        <v/>
      </c>
      <c r="O35" s="6" t="str">
        <f t="shared" si="0"/>
        <v/>
      </c>
    </row>
    <row r="36" spans="1:15" x14ac:dyDescent="0.4">
      <c r="A36">
        <v>32</v>
      </c>
      <c r="B36" t="s">
        <v>6</v>
      </c>
      <c r="C36" t="s">
        <v>104</v>
      </c>
      <c r="D36" t="s">
        <v>105</v>
      </c>
      <c r="E36" s="5"/>
      <c r="N36" t="str">
        <f t="shared" si="1"/>
        <v/>
      </c>
      <c r="O36" s="6" t="str">
        <f t="shared" si="0"/>
        <v/>
      </c>
    </row>
    <row r="37" spans="1:15" x14ac:dyDescent="0.4">
      <c r="A37">
        <v>33</v>
      </c>
      <c r="B37" t="s">
        <v>6</v>
      </c>
      <c r="C37" t="s">
        <v>106</v>
      </c>
      <c r="D37" t="s">
        <v>107</v>
      </c>
      <c r="E37" s="5"/>
      <c r="N37" t="str">
        <f t="shared" si="1"/>
        <v/>
      </c>
      <c r="O37" s="6" t="str">
        <f t="shared" ref="O37:O68" si="2">IFERROR(L37/(M37+L37),"")</f>
        <v/>
      </c>
    </row>
    <row r="38" spans="1:15" x14ac:dyDescent="0.4">
      <c r="A38">
        <v>34</v>
      </c>
      <c r="B38" t="s">
        <v>6</v>
      </c>
      <c r="C38" t="s">
        <v>108</v>
      </c>
      <c r="D38" t="s">
        <v>109</v>
      </c>
      <c r="E38" s="5"/>
      <c r="N38" t="str">
        <f t="shared" si="1"/>
        <v/>
      </c>
      <c r="O38" s="6" t="str">
        <f t="shared" si="2"/>
        <v/>
      </c>
    </row>
    <row r="39" spans="1:15" x14ac:dyDescent="0.4">
      <c r="A39">
        <v>35</v>
      </c>
      <c r="B39" t="s">
        <v>6</v>
      </c>
      <c r="C39" t="s">
        <v>110</v>
      </c>
      <c r="D39" t="s">
        <v>111</v>
      </c>
      <c r="E39" s="5"/>
      <c r="N39" t="str">
        <f t="shared" si="1"/>
        <v/>
      </c>
      <c r="O39" s="6" t="str">
        <f t="shared" si="2"/>
        <v/>
      </c>
    </row>
    <row r="40" spans="1:15" x14ac:dyDescent="0.4">
      <c r="A40">
        <v>36</v>
      </c>
      <c r="B40" t="s">
        <v>6</v>
      </c>
      <c r="C40" t="s">
        <v>112</v>
      </c>
      <c r="D40" t="s">
        <v>113</v>
      </c>
      <c r="E40" s="5"/>
      <c r="N40" t="str">
        <f t="shared" si="1"/>
        <v/>
      </c>
      <c r="O40" s="6" t="str">
        <f t="shared" si="2"/>
        <v/>
      </c>
    </row>
    <row r="41" spans="1:15" x14ac:dyDescent="0.4">
      <c r="A41">
        <v>37</v>
      </c>
      <c r="B41" t="s">
        <v>6</v>
      </c>
      <c r="C41" t="s">
        <v>114</v>
      </c>
      <c r="D41" t="s">
        <v>115</v>
      </c>
      <c r="E41" s="5"/>
      <c r="N41" t="str">
        <f t="shared" si="1"/>
        <v/>
      </c>
      <c r="O41" s="6" t="str">
        <f t="shared" si="2"/>
        <v/>
      </c>
    </row>
    <row r="42" spans="1:15" x14ac:dyDescent="0.4">
      <c r="A42">
        <v>38</v>
      </c>
      <c r="B42" t="s">
        <v>6</v>
      </c>
      <c r="C42" t="s">
        <v>116</v>
      </c>
      <c r="D42" t="s">
        <v>117</v>
      </c>
      <c r="E42" s="5"/>
      <c r="N42" t="str">
        <f t="shared" si="1"/>
        <v/>
      </c>
      <c r="O42" s="6" t="str">
        <f t="shared" si="2"/>
        <v/>
      </c>
    </row>
    <row r="43" spans="1:15" x14ac:dyDescent="0.4">
      <c r="A43">
        <v>39</v>
      </c>
      <c r="B43" t="s">
        <v>6</v>
      </c>
      <c r="C43" t="s">
        <v>118</v>
      </c>
      <c r="D43" t="s">
        <v>119</v>
      </c>
      <c r="E43" s="5"/>
      <c r="N43" t="str">
        <f t="shared" si="1"/>
        <v/>
      </c>
      <c r="O43" s="6" t="str">
        <f t="shared" si="2"/>
        <v/>
      </c>
    </row>
    <row r="44" spans="1:15" x14ac:dyDescent="0.4">
      <c r="A44">
        <v>40</v>
      </c>
      <c r="B44" t="s">
        <v>6</v>
      </c>
      <c r="C44" t="s">
        <v>120</v>
      </c>
      <c r="D44" t="s">
        <v>121</v>
      </c>
      <c r="E44" s="5"/>
      <c r="N44" t="str">
        <f t="shared" si="1"/>
        <v/>
      </c>
      <c r="O44" s="6" t="str">
        <f t="shared" si="2"/>
        <v/>
      </c>
    </row>
    <row r="45" spans="1:15" x14ac:dyDescent="0.4">
      <c r="A45">
        <v>41</v>
      </c>
      <c r="B45" t="s">
        <v>122</v>
      </c>
      <c r="C45" t="s">
        <v>123</v>
      </c>
      <c r="D45" t="s">
        <v>124</v>
      </c>
      <c r="E45" s="5"/>
      <c r="N45" t="str">
        <f t="shared" si="1"/>
        <v/>
      </c>
      <c r="O45" s="6" t="str">
        <f t="shared" si="2"/>
        <v/>
      </c>
    </row>
    <row r="46" spans="1:15" x14ac:dyDescent="0.4">
      <c r="A46">
        <v>42</v>
      </c>
      <c r="B46" t="s">
        <v>125</v>
      </c>
      <c r="C46" t="s">
        <v>126</v>
      </c>
      <c r="D46" t="s">
        <v>127</v>
      </c>
      <c r="E46" s="5"/>
      <c r="N46" t="str">
        <f t="shared" si="1"/>
        <v/>
      </c>
      <c r="O46" s="6" t="str">
        <f t="shared" si="2"/>
        <v/>
      </c>
    </row>
    <row r="47" spans="1:15" x14ac:dyDescent="0.4">
      <c r="A47">
        <v>43</v>
      </c>
      <c r="B47" t="s">
        <v>125</v>
      </c>
      <c r="C47" t="s">
        <v>128</v>
      </c>
      <c r="D47" t="s">
        <v>129</v>
      </c>
      <c r="E47" s="5"/>
      <c r="N47" t="str">
        <f t="shared" si="1"/>
        <v/>
      </c>
      <c r="O47" s="6" t="str">
        <f t="shared" si="2"/>
        <v/>
      </c>
    </row>
    <row r="48" spans="1:15" ht="16.5" x14ac:dyDescent="0.3">
      <c r="A48">
        <v>44</v>
      </c>
      <c r="E48" s="5"/>
      <c r="N48" t="str">
        <f t="shared" si="1"/>
        <v/>
      </c>
      <c r="O48" s="6" t="str">
        <f t="shared" si="2"/>
        <v/>
      </c>
    </row>
    <row r="49" spans="1:15" x14ac:dyDescent="0.4">
      <c r="A49">
        <v>45</v>
      </c>
      <c r="E49" s="5"/>
      <c r="N49" t="str">
        <f t="shared" si="1"/>
        <v/>
      </c>
      <c r="O49" s="6" t="str">
        <f t="shared" si="2"/>
        <v/>
      </c>
    </row>
    <row r="50" spans="1:15" x14ac:dyDescent="0.4">
      <c r="A50">
        <v>46</v>
      </c>
      <c r="E50" s="5"/>
      <c r="N50" t="str">
        <f t="shared" si="1"/>
        <v/>
      </c>
      <c r="O50" s="6" t="str">
        <f t="shared" si="2"/>
        <v/>
      </c>
    </row>
    <row r="51" spans="1:15" x14ac:dyDescent="0.4">
      <c r="A51">
        <v>47</v>
      </c>
      <c r="E51" s="5"/>
      <c r="N51" t="str">
        <f t="shared" si="1"/>
        <v/>
      </c>
      <c r="O51" s="6" t="str">
        <f t="shared" si="2"/>
        <v/>
      </c>
    </row>
    <row r="52" spans="1:15" x14ac:dyDescent="0.4">
      <c r="A52">
        <v>48</v>
      </c>
      <c r="E52" s="5"/>
      <c r="N52" t="str">
        <f t="shared" si="1"/>
        <v/>
      </c>
      <c r="O52" s="6" t="str">
        <f t="shared" si="2"/>
        <v/>
      </c>
    </row>
    <row r="53" spans="1:15" x14ac:dyDescent="0.4">
      <c r="A53">
        <v>49</v>
      </c>
      <c r="E53" s="5"/>
      <c r="N53" t="str">
        <f t="shared" si="1"/>
        <v/>
      </c>
      <c r="O53" s="6" t="str">
        <f t="shared" si="2"/>
        <v/>
      </c>
    </row>
    <row r="54" spans="1:15" x14ac:dyDescent="0.4">
      <c r="A54">
        <v>50</v>
      </c>
      <c r="E54" s="5"/>
      <c r="N54" t="str">
        <f t="shared" si="1"/>
        <v/>
      </c>
      <c r="O54" s="6" t="str">
        <f t="shared" si="2"/>
        <v/>
      </c>
    </row>
    <row r="55" spans="1:15" x14ac:dyDescent="0.4">
      <c r="A55">
        <v>51</v>
      </c>
      <c r="E55" s="5"/>
      <c r="N55" t="str">
        <f t="shared" si="1"/>
        <v/>
      </c>
      <c r="O55" s="6" t="str">
        <f t="shared" si="2"/>
        <v/>
      </c>
    </row>
    <row r="56" spans="1:15" x14ac:dyDescent="0.4">
      <c r="A56">
        <v>52</v>
      </c>
      <c r="E56" s="5"/>
      <c r="N56" t="str">
        <f t="shared" si="1"/>
        <v/>
      </c>
      <c r="O56" s="6" t="str">
        <f t="shared" si="2"/>
        <v/>
      </c>
    </row>
    <row r="57" spans="1:15" x14ac:dyDescent="0.4">
      <c r="A57">
        <v>53</v>
      </c>
      <c r="E57" s="5"/>
      <c r="N57" t="str">
        <f t="shared" si="1"/>
        <v/>
      </c>
      <c r="O57" s="6" t="str">
        <f t="shared" si="2"/>
        <v/>
      </c>
    </row>
    <row r="58" spans="1:15" x14ac:dyDescent="0.4">
      <c r="A58">
        <v>54</v>
      </c>
      <c r="E58" s="5"/>
      <c r="N58" t="str">
        <f t="shared" si="1"/>
        <v/>
      </c>
      <c r="O58" s="6" t="str">
        <f t="shared" si="2"/>
        <v/>
      </c>
    </row>
    <row r="59" spans="1:15" x14ac:dyDescent="0.4">
      <c r="A59">
        <v>55</v>
      </c>
      <c r="E59" s="5"/>
      <c r="N59" t="str">
        <f t="shared" si="1"/>
        <v/>
      </c>
      <c r="O59" s="6" t="str">
        <f t="shared" si="2"/>
        <v/>
      </c>
    </row>
    <row r="60" spans="1:15" x14ac:dyDescent="0.4">
      <c r="A60">
        <v>56</v>
      </c>
      <c r="E60" s="5"/>
      <c r="N60" t="str">
        <f t="shared" si="1"/>
        <v/>
      </c>
      <c r="O60" s="6" t="str">
        <f t="shared" si="2"/>
        <v/>
      </c>
    </row>
    <row r="61" spans="1:15" x14ac:dyDescent="0.4">
      <c r="A61">
        <v>57</v>
      </c>
      <c r="E61" s="5"/>
      <c r="N61" t="str">
        <f t="shared" si="1"/>
        <v/>
      </c>
      <c r="O61" s="6" t="str">
        <f t="shared" si="2"/>
        <v/>
      </c>
    </row>
    <row r="62" spans="1:15" x14ac:dyDescent="0.4">
      <c r="A62">
        <v>58</v>
      </c>
      <c r="E62" s="5"/>
      <c r="N62" t="str">
        <f t="shared" si="1"/>
        <v/>
      </c>
      <c r="O62" s="6" t="str">
        <f t="shared" si="2"/>
        <v/>
      </c>
    </row>
    <row r="63" spans="1:15" x14ac:dyDescent="0.4">
      <c r="A63">
        <v>59</v>
      </c>
      <c r="E63" s="5"/>
      <c r="N63" t="str">
        <f t="shared" si="1"/>
        <v/>
      </c>
      <c r="O63" s="6" t="str">
        <f t="shared" si="2"/>
        <v/>
      </c>
    </row>
    <row r="64" spans="1:15" x14ac:dyDescent="0.4">
      <c r="A64">
        <v>60</v>
      </c>
      <c r="E64" s="5"/>
      <c r="N64" t="str">
        <f t="shared" si="1"/>
        <v/>
      </c>
      <c r="O64" s="6" t="str">
        <f t="shared" si="2"/>
        <v/>
      </c>
    </row>
    <row r="65" spans="1:15" x14ac:dyDescent="0.4">
      <c r="A65">
        <v>61</v>
      </c>
      <c r="E65" s="5"/>
      <c r="N65" t="str">
        <f t="shared" si="1"/>
        <v/>
      </c>
      <c r="O65" s="6" t="str">
        <f t="shared" si="2"/>
        <v/>
      </c>
    </row>
    <row r="66" spans="1:15" x14ac:dyDescent="0.4">
      <c r="A66">
        <v>62</v>
      </c>
      <c r="E66" s="5"/>
      <c r="N66" t="str">
        <f t="shared" si="1"/>
        <v/>
      </c>
      <c r="O66" s="6" t="str">
        <f t="shared" si="2"/>
        <v/>
      </c>
    </row>
    <row r="67" spans="1:15" x14ac:dyDescent="0.4">
      <c r="A67">
        <v>63</v>
      </c>
      <c r="E67" s="5"/>
      <c r="N67" t="str">
        <f t="shared" si="1"/>
        <v/>
      </c>
      <c r="O67" s="6" t="str">
        <f t="shared" si="2"/>
        <v/>
      </c>
    </row>
    <row r="68" spans="1:15" x14ac:dyDescent="0.4">
      <c r="A68">
        <v>64</v>
      </c>
      <c r="E68" s="5"/>
      <c r="N68" t="str">
        <f t="shared" si="1"/>
        <v/>
      </c>
      <c r="O68" s="6" t="str">
        <f t="shared" si="2"/>
        <v/>
      </c>
    </row>
    <row r="69" spans="1:15" x14ac:dyDescent="0.4">
      <c r="A69">
        <v>65</v>
      </c>
      <c r="E69" s="5"/>
      <c r="N69" t="str">
        <f t="shared" si="1"/>
        <v/>
      </c>
      <c r="O69" s="6" t="str">
        <f t="shared" ref="O69:O100" si="3">IFERROR(L69/(M69+L69),"")</f>
        <v/>
      </c>
    </row>
    <row r="70" spans="1:15" x14ac:dyDescent="0.4">
      <c r="A70">
        <v>66</v>
      </c>
      <c r="E70" s="5"/>
      <c r="N70" t="str">
        <f t="shared" ref="N70:N105" si="4">IFERROR(IF(L70+M70=0,"",L70+M70),"")</f>
        <v/>
      </c>
      <c r="O70" s="6" t="str">
        <f t="shared" si="3"/>
        <v/>
      </c>
    </row>
    <row r="71" spans="1:15" x14ac:dyDescent="0.4">
      <c r="A71">
        <v>67</v>
      </c>
      <c r="E71" s="5"/>
      <c r="N71" t="str">
        <f t="shared" si="4"/>
        <v/>
      </c>
      <c r="O71" s="6" t="str">
        <f t="shared" si="3"/>
        <v/>
      </c>
    </row>
    <row r="72" spans="1:15" x14ac:dyDescent="0.4">
      <c r="A72">
        <v>68</v>
      </c>
      <c r="E72" s="5"/>
      <c r="N72" t="str">
        <f t="shared" si="4"/>
        <v/>
      </c>
      <c r="O72" s="6" t="str">
        <f t="shared" si="3"/>
        <v/>
      </c>
    </row>
    <row r="73" spans="1:15" x14ac:dyDescent="0.4">
      <c r="A73">
        <v>69</v>
      </c>
      <c r="E73" s="5"/>
      <c r="N73" t="str">
        <f t="shared" si="4"/>
        <v/>
      </c>
      <c r="O73" s="6" t="str">
        <f t="shared" si="3"/>
        <v/>
      </c>
    </row>
    <row r="74" spans="1:15" x14ac:dyDescent="0.4">
      <c r="A74">
        <v>70</v>
      </c>
      <c r="E74" s="5"/>
      <c r="N74" t="str">
        <f t="shared" si="4"/>
        <v/>
      </c>
      <c r="O74" s="6" t="str">
        <f t="shared" si="3"/>
        <v/>
      </c>
    </row>
    <row r="75" spans="1:15" x14ac:dyDescent="0.4">
      <c r="A75">
        <v>71</v>
      </c>
      <c r="E75" s="5"/>
      <c r="N75" t="str">
        <f t="shared" si="4"/>
        <v/>
      </c>
      <c r="O75" s="6" t="str">
        <f t="shared" si="3"/>
        <v/>
      </c>
    </row>
    <row r="76" spans="1:15" x14ac:dyDescent="0.4">
      <c r="A76">
        <v>72</v>
      </c>
      <c r="E76" s="5"/>
      <c r="N76" t="str">
        <f t="shared" si="4"/>
        <v/>
      </c>
      <c r="O76" s="6" t="str">
        <f t="shared" si="3"/>
        <v/>
      </c>
    </row>
    <row r="77" spans="1:15" x14ac:dyDescent="0.4">
      <c r="A77">
        <v>73</v>
      </c>
      <c r="E77" s="5"/>
      <c r="N77" t="str">
        <f t="shared" si="4"/>
        <v/>
      </c>
      <c r="O77" s="6" t="str">
        <f t="shared" si="3"/>
        <v/>
      </c>
    </row>
    <row r="78" spans="1:15" x14ac:dyDescent="0.4">
      <c r="A78">
        <v>74</v>
      </c>
      <c r="E78" s="5"/>
      <c r="N78" t="str">
        <f t="shared" si="4"/>
        <v/>
      </c>
      <c r="O78" s="6" t="str">
        <f t="shared" si="3"/>
        <v/>
      </c>
    </row>
    <row r="79" spans="1:15" x14ac:dyDescent="0.4">
      <c r="A79">
        <v>75</v>
      </c>
      <c r="E79" s="5"/>
      <c r="N79" t="str">
        <f t="shared" si="4"/>
        <v/>
      </c>
      <c r="O79" s="6" t="str">
        <f t="shared" si="3"/>
        <v/>
      </c>
    </row>
    <row r="80" spans="1:15" x14ac:dyDescent="0.4">
      <c r="A80">
        <v>76</v>
      </c>
      <c r="E80" s="5"/>
      <c r="N80" t="str">
        <f t="shared" si="4"/>
        <v/>
      </c>
      <c r="O80" s="6" t="str">
        <f t="shared" si="3"/>
        <v/>
      </c>
    </row>
    <row r="81" spans="1:15" x14ac:dyDescent="0.4">
      <c r="A81">
        <v>77</v>
      </c>
      <c r="E81" s="5"/>
      <c r="N81" t="str">
        <f t="shared" si="4"/>
        <v/>
      </c>
      <c r="O81" s="6" t="str">
        <f t="shared" si="3"/>
        <v/>
      </c>
    </row>
    <row r="82" spans="1:15" x14ac:dyDescent="0.4">
      <c r="A82">
        <v>78</v>
      </c>
      <c r="E82" s="5"/>
      <c r="N82" t="str">
        <f t="shared" si="4"/>
        <v/>
      </c>
      <c r="O82" s="6" t="str">
        <f t="shared" si="3"/>
        <v/>
      </c>
    </row>
    <row r="83" spans="1:15" x14ac:dyDescent="0.4">
      <c r="A83">
        <v>79</v>
      </c>
      <c r="E83" s="5"/>
      <c r="N83" t="str">
        <f t="shared" si="4"/>
        <v/>
      </c>
      <c r="O83" s="6" t="str">
        <f t="shared" si="3"/>
        <v/>
      </c>
    </row>
    <row r="84" spans="1:15" x14ac:dyDescent="0.4">
      <c r="A84">
        <v>80</v>
      </c>
      <c r="E84" s="5"/>
      <c r="N84" t="str">
        <f t="shared" si="4"/>
        <v/>
      </c>
      <c r="O84" s="6" t="str">
        <f t="shared" si="3"/>
        <v/>
      </c>
    </row>
    <row r="85" spans="1:15" x14ac:dyDescent="0.4">
      <c r="A85">
        <v>81</v>
      </c>
      <c r="E85" s="5"/>
      <c r="N85" t="str">
        <f t="shared" si="4"/>
        <v/>
      </c>
      <c r="O85" s="6" t="str">
        <f t="shared" si="3"/>
        <v/>
      </c>
    </row>
    <row r="86" spans="1:15" x14ac:dyDescent="0.4">
      <c r="A86">
        <v>82</v>
      </c>
      <c r="E86" s="5"/>
      <c r="N86" t="str">
        <f t="shared" si="4"/>
        <v/>
      </c>
      <c r="O86" s="6" t="str">
        <f t="shared" si="3"/>
        <v/>
      </c>
    </row>
    <row r="87" spans="1:15" x14ac:dyDescent="0.4">
      <c r="A87">
        <v>83</v>
      </c>
      <c r="E87" s="5"/>
      <c r="N87" t="str">
        <f t="shared" si="4"/>
        <v/>
      </c>
      <c r="O87" s="6" t="str">
        <f t="shared" si="3"/>
        <v/>
      </c>
    </row>
    <row r="88" spans="1:15" x14ac:dyDescent="0.4">
      <c r="A88">
        <v>84</v>
      </c>
      <c r="E88" s="5"/>
      <c r="N88" t="str">
        <f t="shared" si="4"/>
        <v/>
      </c>
      <c r="O88" s="6" t="str">
        <f t="shared" si="3"/>
        <v/>
      </c>
    </row>
    <row r="89" spans="1:15" x14ac:dyDescent="0.4">
      <c r="A89">
        <v>85</v>
      </c>
      <c r="E89" s="5"/>
      <c r="N89" t="str">
        <f t="shared" si="4"/>
        <v/>
      </c>
      <c r="O89" s="6" t="str">
        <f t="shared" si="3"/>
        <v/>
      </c>
    </row>
    <row r="90" spans="1:15" x14ac:dyDescent="0.4">
      <c r="A90">
        <v>86</v>
      </c>
      <c r="E90" s="5"/>
      <c r="N90" t="str">
        <f t="shared" si="4"/>
        <v/>
      </c>
      <c r="O90" s="6" t="str">
        <f t="shared" si="3"/>
        <v/>
      </c>
    </row>
    <row r="91" spans="1:15" x14ac:dyDescent="0.4">
      <c r="A91">
        <v>87</v>
      </c>
      <c r="E91" s="5"/>
      <c r="N91" t="str">
        <f t="shared" si="4"/>
        <v/>
      </c>
      <c r="O91" s="6" t="str">
        <f t="shared" si="3"/>
        <v/>
      </c>
    </row>
    <row r="92" spans="1:15" x14ac:dyDescent="0.4">
      <c r="A92">
        <v>88</v>
      </c>
      <c r="E92" s="5"/>
      <c r="N92" t="str">
        <f t="shared" si="4"/>
        <v/>
      </c>
      <c r="O92" s="6" t="str">
        <f t="shared" si="3"/>
        <v/>
      </c>
    </row>
    <row r="93" spans="1:15" x14ac:dyDescent="0.4">
      <c r="A93">
        <v>89</v>
      </c>
      <c r="E93" s="5"/>
      <c r="N93" t="str">
        <f t="shared" si="4"/>
        <v/>
      </c>
      <c r="O93" s="6" t="str">
        <f t="shared" si="3"/>
        <v/>
      </c>
    </row>
    <row r="94" spans="1:15" x14ac:dyDescent="0.4">
      <c r="A94">
        <v>90</v>
      </c>
      <c r="E94" s="5"/>
      <c r="N94" t="str">
        <f t="shared" si="4"/>
        <v/>
      </c>
      <c r="O94" s="6" t="str">
        <f t="shared" si="3"/>
        <v/>
      </c>
    </row>
    <row r="95" spans="1:15" x14ac:dyDescent="0.4">
      <c r="A95">
        <v>91</v>
      </c>
      <c r="E95" s="5"/>
      <c r="N95" t="str">
        <f t="shared" si="4"/>
        <v/>
      </c>
      <c r="O95" s="6" t="str">
        <f t="shared" si="3"/>
        <v/>
      </c>
    </row>
    <row r="96" spans="1:15" x14ac:dyDescent="0.4">
      <c r="A96">
        <v>92</v>
      </c>
      <c r="E96" s="5"/>
      <c r="N96" t="str">
        <f t="shared" si="4"/>
        <v/>
      </c>
      <c r="O96" s="6" t="str">
        <f t="shared" si="3"/>
        <v/>
      </c>
    </row>
    <row r="97" spans="1:15" x14ac:dyDescent="0.4">
      <c r="A97">
        <v>93</v>
      </c>
      <c r="E97" s="5"/>
      <c r="N97" t="str">
        <f t="shared" si="4"/>
        <v/>
      </c>
      <c r="O97" s="6" t="str">
        <f t="shared" si="3"/>
        <v/>
      </c>
    </row>
    <row r="98" spans="1:15" x14ac:dyDescent="0.4">
      <c r="A98">
        <v>94</v>
      </c>
      <c r="E98" s="5"/>
      <c r="N98" t="str">
        <f t="shared" si="4"/>
        <v/>
      </c>
      <c r="O98" s="6" t="str">
        <f t="shared" si="3"/>
        <v/>
      </c>
    </row>
    <row r="99" spans="1:15" x14ac:dyDescent="0.4">
      <c r="A99">
        <v>95</v>
      </c>
      <c r="E99" s="5"/>
      <c r="N99" t="str">
        <f t="shared" si="4"/>
        <v/>
      </c>
      <c r="O99" s="6" t="str">
        <f t="shared" si="3"/>
        <v/>
      </c>
    </row>
    <row r="100" spans="1:15" x14ac:dyDescent="0.4">
      <c r="A100">
        <v>96</v>
      </c>
      <c r="E100" s="5"/>
      <c r="N100" t="str">
        <f t="shared" si="4"/>
        <v/>
      </c>
      <c r="O100" s="6" t="str">
        <f t="shared" si="3"/>
        <v/>
      </c>
    </row>
    <row r="101" spans="1:15" x14ac:dyDescent="0.4">
      <c r="A101">
        <v>97</v>
      </c>
      <c r="E101" s="5"/>
      <c r="N101" t="str">
        <f t="shared" si="4"/>
        <v/>
      </c>
      <c r="O101" s="6" t="str">
        <f t="shared" ref="O101:O104" si="5">IFERROR(L101/(M101+L101),"")</f>
        <v/>
      </c>
    </row>
    <row r="102" spans="1:15" x14ac:dyDescent="0.4">
      <c r="A102">
        <v>98</v>
      </c>
      <c r="E102" s="5"/>
      <c r="N102" t="str">
        <f t="shared" si="4"/>
        <v/>
      </c>
      <c r="O102" s="6" t="str">
        <f t="shared" si="5"/>
        <v/>
      </c>
    </row>
    <row r="103" spans="1:15" x14ac:dyDescent="0.4">
      <c r="A103">
        <v>99</v>
      </c>
      <c r="E103" s="5"/>
      <c r="N103" t="str">
        <f t="shared" si="4"/>
        <v/>
      </c>
      <c r="O103" s="6" t="str">
        <f t="shared" si="5"/>
        <v/>
      </c>
    </row>
    <row r="104" spans="1:15" x14ac:dyDescent="0.4">
      <c r="A104">
        <v>100</v>
      </c>
      <c r="E104" s="5"/>
      <c r="N104" t="str">
        <f t="shared" si="4"/>
        <v/>
      </c>
      <c r="O104" s="6" t="str">
        <f t="shared" si="5"/>
        <v/>
      </c>
    </row>
    <row r="105" spans="1:15" x14ac:dyDescent="0.4">
      <c r="A105" t="s">
        <v>13</v>
      </c>
      <c r="B105" t="s">
        <v>13</v>
      </c>
      <c r="C105" t="s">
        <v>13</v>
      </c>
      <c r="D105" t="s">
        <v>13</v>
      </c>
      <c r="E105" t="s">
        <v>13</v>
      </c>
      <c r="F105" t="s">
        <v>13</v>
      </c>
      <c r="G105" t="s">
        <v>87</v>
      </c>
      <c r="H105" t="s">
        <v>87</v>
      </c>
      <c r="I105" t="s">
        <v>87</v>
      </c>
      <c r="J105" t="s">
        <v>87</v>
      </c>
      <c r="K105" t="s">
        <v>87</v>
      </c>
      <c r="L105" t="s">
        <v>87</v>
      </c>
      <c r="M105" t="s">
        <v>87</v>
      </c>
      <c r="N105" t="str">
        <f t="shared" si="4"/>
        <v/>
      </c>
      <c r="O105" s="6" t="s">
        <v>87</v>
      </c>
    </row>
    <row r="106" spans="1:15" x14ac:dyDescent="0.4">
      <c r="O106" s="6"/>
    </row>
    <row r="107" spans="1:15" x14ac:dyDescent="0.4">
      <c r="O107" s="6"/>
    </row>
    <row r="108" spans="1:15" x14ac:dyDescent="0.4">
      <c r="O108" s="6"/>
    </row>
    <row r="109" spans="1:15" x14ac:dyDescent="0.4">
      <c r="O109" s="6"/>
    </row>
    <row r="110" spans="1:15" x14ac:dyDescent="0.4">
      <c r="O110" s="6"/>
    </row>
    <row r="111" spans="1:15" x14ac:dyDescent="0.4">
      <c r="O111" s="6"/>
    </row>
    <row r="112" spans="1:15" x14ac:dyDescent="0.4">
      <c r="O112" s="6"/>
    </row>
    <row r="113" spans="15:15" x14ac:dyDescent="0.4">
      <c r="O113" s="6"/>
    </row>
    <row r="114" spans="15:15" x14ac:dyDescent="0.4">
      <c r="O114" s="6"/>
    </row>
    <row r="115" spans="15:15" x14ac:dyDescent="0.4">
      <c r="O115" s="6"/>
    </row>
    <row r="116" spans="15:15" x14ac:dyDescent="0.4">
      <c r="O116" s="6"/>
    </row>
    <row r="117" spans="15:15" x14ac:dyDescent="0.4">
      <c r="O117" s="6"/>
    </row>
    <row r="118" spans="15:15" x14ac:dyDescent="0.4">
      <c r="O118" s="6"/>
    </row>
    <row r="119" spans="15:15" x14ac:dyDescent="0.4">
      <c r="O119" s="6"/>
    </row>
    <row r="120" spans="15:15" x14ac:dyDescent="0.4">
      <c r="O120" s="6"/>
    </row>
    <row r="121" spans="15:15" x14ac:dyDescent="0.4">
      <c r="O121" s="6"/>
    </row>
    <row r="122" spans="15:15" x14ac:dyDescent="0.4">
      <c r="O122" s="6"/>
    </row>
    <row r="123" spans="15:15" x14ac:dyDescent="0.4">
      <c r="O123" s="6"/>
    </row>
    <row r="124" spans="15:15" x14ac:dyDescent="0.4">
      <c r="O124" s="6"/>
    </row>
    <row r="125" spans="15:15" x14ac:dyDescent="0.4">
      <c r="O125" s="6"/>
    </row>
    <row r="126" spans="15:15" x14ac:dyDescent="0.4">
      <c r="O126" s="6"/>
    </row>
    <row r="127" spans="15:15" x14ac:dyDescent="0.4">
      <c r="O127" s="6"/>
    </row>
    <row r="128" spans="15:15" x14ac:dyDescent="0.4">
      <c r="O128" s="6"/>
    </row>
    <row r="129" spans="15:15" x14ac:dyDescent="0.4">
      <c r="O129" s="6"/>
    </row>
    <row r="130" spans="15:15" x14ac:dyDescent="0.4">
      <c r="O130" s="6"/>
    </row>
    <row r="131" spans="15:15" x14ac:dyDescent="0.4">
      <c r="O131" s="6"/>
    </row>
    <row r="132" spans="15:15" x14ac:dyDescent="0.4">
      <c r="O132" s="6"/>
    </row>
    <row r="133" spans="15:15" x14ac:dyDescent="0.4">
      <c r="O133" s="6"/>
    </row>
    <row r="134" spans="15:15" x14ac:dyDescent="0.4">
      <c r="O134" s="6"/>
    </row>
    <row r="135" spans="15:15" x14ac:dyDescent="0.4">
      <c r="O135" s="6"/>
    </row>
    <row r="136" spans="15:15" x14ac:dyDescent="0.4">
      <c r="O136" s="6"/>
    </row>
    <row r="137" spans="15:15" x14ac:dyDescent="0.4">
      <c r="O137" s="6"/>
    </row>
    <row r="138" spans="15:15" x14ac:dyDescent="0.4">
      <c r="O138" s="6"/>
    </row>
    <row r="139" spans="15:15" x14ac:dyDescent="0.4">
      <c r="O139" s="6"/>
    </row>
    <row r="140" spans="15:15" x14ac:dyDescent="0.4">
      <c r="O140" s="6"/>
    </row>
    <row r="141" spans="15:15" x14ac:dyDescent="0.4">
      <c r="O141" s="6"/>
    </row>
    <row r="142" spans="15:15" x14ac:dyDescent="0.4">
      <c r="O142" s="6"/>
    </row>
    <row r="143" spans="15:15" x14ac:dyDescent="0.4">
      <c r="O143" s="6"/>
    </row>
    <row r="144" spans="15:15" x14ac:dyDescent="0.4">
      <c r="O144" s="6"/>
    </row>
    <row r="145" spans="15:15" x14ac:dyDescent="0.4">
      <c r="O145" s="6"/>
    </row>
    <row r="146" spans="15:15" x14ac:dyDescent="0.4">
      <c r="O146" s="6"/>
    </row>
    <row r="147" spans="15:15" x14ac:dyDescent="0.4">
      <c r="O147" s="6"/>
    </row>
    <row r="148" spans="15:15" x14ac:dyDescent="0.4">
      <c r="O148" s="6"/>
    </row>
    <row r="149" spans="15:15" x14ac:dyDescent="0.4">
      <c r="O149" s="6"/>
    </row>
    <row r="150" spans="15:15" x14ac:dyDescent="0.4">
      <c r="O150" s="6"/>
    </row>
    <row r="151" spans="15:15" x14ac:dyDescent="0.4">
      <c r="O151" s="6"/>
    </row>
    <row r="152" spans="15:15" x14ac:dyDescent="0.4">
      <c r="O152" s="6"/>
    </row>
    <row r="153" spans="15:15" x14ac:dyDescent="0.4">
      <c r="O153" s="6"/>
    </row>
    <row r="154" spans="15:15" x14ac:dyDescent="0.4">
      <c r="O154" s="6"/>
    </row>
    <row r="155" spans="15:15" x14ac:dyDescent="0.4">
      <c r="O155" s="6"/>
    </row>
    <row r="156" spans="15:15" x14ac:dyDescent="0.4">
      <c r="O156" s="6"/>
    </row>
    <row r="157" spans="15:15" x14ac:dyDescent="0.4">
      <c r="O157" s="6"/>
    </row>
    <row r="158" spans="15:15" x14ac:dyDescent="0.4">
      <c r="O158" s="6"/>
    </row>
    <row r="159" spans="15:15" x14ac:dyDescent="0.4">
      <c r="O159" s="6"/>
    </row>
    <row r="160" spans="15:15" x14ac:dyDescent="0.4">
      <c r="O160" s="6"/>
    </row>
    <row r="161" spans="15:15" x14ac:dyDescent="0.4">
      <c r="O161" s="6"/>
    </row>
    <row r="162" spans="15:15" x14ac:dyDescent="0.4">
      <c r="O162" s="6"/>
    </row>
    <row r="163" spans="15:15" x14ac:dyDescent="0.4">
      <c r="O163" s="6"/>
    </row>
    <row r="164" spans="15:15" x14ac:dyDescent="0.4">
      <c r="O164" s="6"/>
    </row>
    <row r="165" spans="15:15" x14ac:dyDescent="0.4">
      <c r="O165" s="6"/>
    </row>
    <row r="166" spans="15:15" x14ac:dyDescent="0.4">
      <c r="O166" s="6"/>
    </row>
    <row r="167" spans="15:15" x14ac:dyDescent="0.4">
      <c r="O167" s="6"/>
    </row>
    <row r="168" spans="15:15" x14ac:dyDescent="0.4">
      <c r="O168" s="6"/>
    </row>
    <row r="169" spans="15:15" x14ac:dyDescent="0.4">
      <c r="O169" s="6"/>
    </row>
    <row r="170" spans="15:15" x14ac:dyDescent="0.4">
      <c r="O170" s="6"/>
    </row>
    <row r="171" spans="15:15" x14ac:dyDescent="0.4">
      <c r="O171" s="6"/>
    </row>
    <row r="172" spans="15:15" x14ac:dyDescent="0.4">
      <c r="O172" s="6"/>
    </row>
    <row r="173" spans="15:15" x14ac:dyDescent="0.4">
      <c r="O173" s="6"/>
    </row>
    <row r="174" spans="15:15" x14ac:dyDescent="0.4">
      <c r="O174" s="6"/>
    </row>
    <row r="175" spans="15:15" x14ac:dyDescent="0.4">
      <c r="O175" s="6"/>
    </row>
    <row r="176" spans="15:15" x14ac:dyDescent="0.4">
      <c r="O176" s="6"/>
    </row>
    <row r="177" spans="15:15" x14ac:dyDescent="0.4">
      <c r="O177" s="6"/>
    </row>
    <row r="178" spans="15:15" x14ac:dyDescent="0.4">
      <c r="O178" s="6"/>
    </row>
    <row r="179" spans="15:15" x14ac:dyDescent="0.4">
      <c r="O179" s="6"/>
    </row>
    <row r="180" spans="15:15" x14ac:dyDescent="0.4">
      <c r="O180" s="6"/>
    </row>
    <row r="181" spans="15:15" x14ac:dyDescent="0.4">
      <c r="O181" s="6"/>
    </row>
    <row r="182" spans="15:15" x14ac:dyDescent="0.4">
      <c r="O182" s="6"/>
    </row>
    <row r="183" spans="15:15" x14ac:dyDescent="0.4">
      <c r="O183" s="6"/>
    </row>
    <row r="184" spans="15:15" x14ac:dyDescent="0.4">
      <c r="O184" s="6"/>
    </row>
    <row r="185" spans="15:15" x14ac:dyDescent="0.4">
      <c r="O185" s="6"/>
    </row>
    <row r="186" spans="15:15" x14ac:dyDescent="0.4">
      <c r="O186" s="6"/>
    </row>
    <row r="187" spans="15:15" x14ac:dyDescent="0.4">
      <c r="O187" s="6"/>
    </row>
    <row r="188" spans="15:15" x14ac:dyDescent="0.4">
      <c r="O188" s="6"/>
    </row>
    <row r="189" spans="15:15" x14ac:dyDescent="0.4">
      <c r="O189" s="6"/>
    </row>
    <row r="190" spans="15:15" x14ac:dyDescent="0.4">
      <c r="O190" s="6"/>
    </row>
    <row r="191" spans="15:15" x14ac:dyDescent="0.4">
      <c r="O191" s="6"/>
    </row>
    <row r="192" spans="15:15" x14ac:dyDescent="0.4">
      <c r="O192" s="6"/>
    </row>
    <row r="193" spans="15:15" x14ac:dyDescent="0.4">
      <c r="O193" s="6"/>
    </row>
    <row r="194" spans="15:15" x14ac:dyDescent="0.4">
      <c r="O194" s="6"/>
    </row>
    <row r="195" spans="15:15" x14ac:dyDescent="0.4">
      <c r="O195" s="6"/>
    </row>
    <row r="196" spans="15:15" x14ac:dyDescent="0.4">
      <c r="O196" s="6"/>
    </row>
    <row r="197" spans="15:15" x14ac:dyDescent="0.4">
      <c r="O197" s="6"/>
    </row>
    <row r="198" spans="15:15" x14ac:dyDescent="0.4">
      <c r="O198" s="6"/>
    </row>
    <row r="199" spans="15:15" x14ac:dyDescent="0.4">
      <c r="O199" s="6"/>
    </row>
    <row r="200" spans="15:15" x14ac:dyDescent="0.4">
      <c r="O200" s="6"/>
    </row>
    <row r="201" spans="15:15" x14ac:dyDescent="0.4">
      <c r="O201" s="6"/>
    </row>
    <row r="202" spans="15:15" x14ac:dyDescent="0.4">
      <c r="O202" s="6"/>
    </row>
    <row r="203" spans="15:15" x14ac:dyDescent="0.4">
      <c r="O203" s="6"/>
    </row>
    <row r="204" spans="15:15" x14ac:dyDescent="0.4">
      <c r="O204" s="6"/>
    </row>
    <row r="205" spans="15:15" x14ac:dyDescent="0.4">
      <c r="O205" s="6"/>
    </row>
    <row r="206" spans="15:15" x14ac:dyDescent="0.4">
      <c r="O206" s="6"/>
    </row>
    <row r="207" spans="15:15" x14ac:dyDescent="0.4">
      <c r="O207" s="6"/>
    </row>
    <row r="208" spans="15:15" x14ac:dyDescent="0.4">
      <c r="O208" s="6"/>
    </row>
    <row r="209" spans="15:15" x14ac:dyDescent="0.4">
      <c r="O209" s="6"/>
    </row>
    <row r="210" spans="15:15" x14ac:dyDescent="0.4">
      <c r="O210" s="6"/>
    </row>
    <row r="211" spans="15:15" x14ac:dyDescent="0.4">
      <c r="O211" s="6"/>
    </row>
    <row r="212" spans="15:15" x14ac:dyDescent="0.4">
      <c r="O212" s="6"/>
    </row>
    <row r="213" spans="15:15" x14ac:dyDescent="0.4">
      <c r="O213" s="6"/>
    </row>
    <row r="214" spans="15:15" x14ac:dyDescent="0.4">
      <c r="O214" s="6"/>
    </row>
    <row r="215" spans="15:15" x14ac:dyDescent="0.4">
      <c r="O215" s="6"/>
    </row>
    <row r="216" spans="15:15" x14ac:dyDescent="0.4">
      <c r="O216" s="6"/>
    </row>
    <row r="217" spans="15:15" x14ac:dyDescent="0.4">
      <c r="O217" s="6"/>
    </row>
    <row r="218" spans="15:15" x14ac:dyDescent="0.4">
      <c r="O218" s="6"/>
    </row>
    <row r="219" spans="15:15" x14ac:dyDescent="0.4">
      <c r="O219" s="6"/>
    </row>
    <row r="220" spans="15:15" x14ac:dyDescent="0.4">
      <c r="O220" s="6"/>
    </row>
    <row r="221" spans="15:15" x14ac:dyDescent="0.4">
      <c r="O221" s="6"/>
    </row>
    <row r="222" spans="15:15" x14ac:dyDescent="0.4">
      <c r="O222" s="6"/>
    </row>
    <row r="223" spans="15:15" x14ac:dyDescent="0.4">
      <c r="O223" s="6"/>
    </row>
    <row r="224" spans="15:15" x14ac:dyDescent="0.4">
      <c r="O224" s="6"/>
    </row>
    <row r="225" spans="15:15" x14ac:dyDescent="0.4">
      <c r="O225" s="6"/>
    </row>
    <row r="226" spans="15:15" x14ac:dyDescent="0.4">
      <c r="O226" s="6"/>
    </row>
    <row r="227" spans="15:15" x14ac:dyDescent="0.4">
      <c r="O227" s="6"/>
    </row>
    <row r="228" spans="15:15" x14ac:dyDescent="0.4">
      <c r="O228" s="6"/>
    </row>
    <row r="229" spans="15:15" x14ac:dyDescent="0.4">
      <c r="O229" s="6"/>
    </row>
    <row r="230" spans="15:15" x14ac:dyDescent="0.4">
      <c r="O230" s="6"/>
    </row>
    <row r="231" spans="15:15" x14ac:dyDescent="0.4">
      <c r="O231" s="6"/>
    </row>
    <row r="232" spans="15:15" x14ac:dyDescent="0.4">
      <c r="O232" s="6"/>
    </row>
    <row r="233" spans="15:15" x14ac:dyDescent="0.4">
      <c r="O233" s="6"/>
    </row>
    <row r="234" spans="15:15" x14ac:dyDescent="0.4">
      <c r="O234" s="6"/>
    </row>
    <row r="235" spans="15:15" x14ac:dyDescent="0.4">
      <c r="O235" s="6"/>
    </row>
    <row r="236" spans="15:15" x14ac:dyDescent="0.4">
      <c r="O236" s="6"/>
    </row>
    <row r="237" spans="15:15" x14ac:dyDescent="0.4">
      <c r="O237" s="6"/>
    </row>
    <row r="238" spans="15:15" x14ac:dyDescent="0.4">
      <c r="O238" s="6"/>
    </row>
    <row r="239" spans="15:15" x14ac:dyDescent="0.4">
      <c r="O239" s="6"/>
    </row>
    <row r="240" spans="15:15" x14ac:dyDescent="0.4">
      <c r="O240" s="6"/>
    </row>
    <row r="241" spans="15:15" x14ac:dyDescent="0.4">
      <c r="O241" s="6"/>
    </row>
    <row r="242" spans="15:15" x14ac:dyDescent="0.4">
      <c r="O242" s="6"/>
    </row>
    <row r="243" spans="15:15" x14ac:dyDescent="0.4">
      <c r="O243" s="6"/>
    </row>
    <row r="244" spans="15:15" x14ac:dyDescent="0.4">
      <c r="O244" s="6"/>
    </row>
    <row r="245" spans="15:15" x14ac:dyDescent="0.4">
      <c r="O245" s="6"/>
    </row>
    <row r="246" spans="15:15" x14ac:dyDescent="0.4">
      <c r="O246" s="6"/>
    </row>
    <row r="247" spans="15:15" x14ac:dyDescent="0.4">
      <c r="O247" s="6"/>
    </row>
    <row r="248" spans="15:15" x14ac:dyDescent="0.4">
      <c r="O248" s="6"/>
    </row>
    <row r="249" spans="15:15" x14ac:dyDescent="0.4">
      <c r="O249" s="6"/>
    </row>
    <row r="250" spans="15:15" x14ac:dyDescent="0.4">
      <c r="O250" s="6"/>
    </row>
    <row r="251" spans="15:15" x14ac:dyDescent="0.4">
      <c r="O251" s="6"/>
    </row>
    <row r="252" spans="15:15" x14ac:dyDescent="0.4">
      <c r="O252" s="6"/>
    </row>
    <row r="253" spans="15:15" x14ac:dyDescent="0.4">
      <c r="O253" s="6"/>
    </row>
    <row r="254" spans="15:15" x14ac:dyDescent="0.4">
      <c r="O254" s="6"/>
    </row>
    <row r="255" spans="15:15" x14ac:dyDescent="0.4">
      <c r="O255" s="6"/>
    </row>
    <row r="256" spans="15:15" x14ac:dyDescent="0.4">
      <c r="O256" s="6"/>
    </row>
    <row r="257" spans="15:15" x14ac:dyDescent="0.4">
      <c r="O257" s="6"/>
    </row>
    <row r="258" spans="15:15" x14ac:dyDescent="0.4">
      <c r="O258" s="6"/>
    </row>
    <row r="259" spans="15:15" x14ac:dyDescent="0.4">
      <c r="O259" s="6"/>
    </row>
    <row r="260" spans="15:15" x14ac:dyDescent="0.4">
      <c r="O260" s="6"/>
    </row>
    <row r="261" spans="15:15" x14ac:dyDescent="0.4">
      <c r="O261" s="6"/>
    </row>
    <row r="262" spans="15:15" x14ac:dyDescent="0.4">
      <c r="O262" s="6"/>
    </row>
    <row r="263" spans="15:15" x14ac:dyDescent="0.4">
      <c r="O263" s="6"/>
    </row>
    <row r="264" spans="15:15" x14ac:dyDescent="0.4">
      <c r="O264" s="6"/>
    </row>
    <row r="265" spans="15:15" x14ac:dyDescent="0.4">
      <c r="O265" s="6"/>
    </row>
    <row r="266" spans="15:15" x14ac:dyDescent="0.4">
      <c r="O266" s="6"/>
    </row>
    <row r="267" spans="15:15" x14ac:dyDescent="0.4">
      <c r="O267" s="6"/>
    </row>
    <row r="268" spans="15:15" x14ac:dyDescent="0.4">
      <c r="O268" s="6"/>
    </row>
    <row r="269" spans="15:15" x14ac:dyDescent="0.4">
      <c r="O269" s="6"/>
    </row>
    <row r="270" spans="15:15" x14ac:dyDescent="0.4">
      <c r="O270" s="6"/>
    </row>
    <row r="271" spans="15:15" x14ac:dyDescent="0.4">
      <c r="O271" s="6"/>
    </row>
    <row r="272" spans="15:15" x14ac:dyDescent="0.4">
      <c r="O272" s="6"/>
    </row>
    <row r="273" spans="15:15" x14ac:dyDescent="0.4">
      <c r="O273" s="6"/>
    </row>
    <row r="274" spans="15:15" x14ac:dyDescent="0.4">
      <c r="O274" s="6"/>
    </row>
    <row r="275" spans="15:15" x14ac:dyDescent="0.4">
      <c r="O275" s="6"/>
    </row>
    <row r="276" spans="15:15" x14ac:dyDescent="0.4">
      <c r="O276" s="6"/>
    </row>
    <row r="277" spans="15:15" x14ac:dyDescent="0.4">
      <c r="O277" s="6"/>
    </row>
    <row r="278" spans="15:15" x14ac:dyDescent="0.4">
      <c r="O278" s="6"/>
    </row>
    <row r="279" spans="15:15" x14ac:dyDescent="0.4">
      <c r="O279" s="6"/>
    </row>
    <row r="280" spans="15:15" x14ac:dyDescent="0.4">
      <c r="O280" s="6"/>
    </row>
    <row r="281" spans="15:15" x14ac:dyDescent="0.4">
      <c r="O281" s="6"/>
    </row>
    <row r="282" spans="15:15" x14ac:dyDescent="0.4">
      <c r="O282" s="6"/>
    </row>
    <row r="283" spans="15:15" x14ac:dyDescent="0.4">
      <c r="O283" s="6"/>
    </row>
    <row r="284" spans="15:15" x14ac:dyDescent="0.4">
      <c r="O284" s="6"/>
    </row>
    <row r="285" spans="15:15" x14ac:dyDescent="0.4">
      <c r="O285" s="6"/>
    </row>
    <row r="286" spans="15:15" x14ac:dyDescent="0.4">
      <c r="O286" s="6"/>
    </row>
    <row r="287" spans="15:15" x14ac:dyDescent="0.4">
      <c r="O287" s="6"/>
    </row>
    <row r="288" spans="15:15" x14ac:dyDescent="0.4">
      <c r="O288" s="6"/>
    </row>
    <row r="289" spans="15:15" x14ac:dyDescent="0.4">
      <c r="O289" s="6"/>
    </row>
    <row r="290" spans="15:15" x14ac:dyDescent="0.4">
      <c r="O290" s="6"/>
    </row>
    <row r="291" spans="15:15" x14ac:dyDescent="0.4">
      <c r="O291" s="6"/>
    </row>
    <row r="292" spans="15:15" x14ac:dyDescent="0.4">
      <c r="O292" s="6"/>
    </row>
    <row r="293" spans="15:15" x14ac:dyDescent="0.4">
      <c r="O293" s="6"/>
    </row>
    <row r="294" spans="15:15" x14ac:dyDescent="0.4">
      <c r="O294" s="6"/>
    </row>
    <row r="295" spans="15:15" x14ac:dyDescent="0.4">
      <c r="O295" s="6"/>
    </row>
    <row r="296" spans="15:15" x14ac:dyDescent="0.4">
      <c r="O296" s="6"/>
    </row>
    <row r="297" spans="15:15" x14ac:dyDescent="0.4">
      <c r="O297" s="6"/>
    </row>
    <row r="298" spans="15:15" x14ac:dyDescent="0.4">
      <c r="O298" s="6"/>
    </row>
    <row r="299" spans="15:15" x14ac:dyDescent="0.4">
      <c r="O299" s="6"/>
    </row>
    <row r="300" spans="15:15" x14ac:dyDescent="0.4">
      <c r="O300" s="6"/>
    </row>
    <row r="301" spans="15:15" x14ac:dyDescent="0.4">
      <c r="O301" s="6"/>
    </row>
    <row r="302" spans="15:15" x14ac:dyDescent="0.4">
      <c r="O302" s="6"/>
    </row>
    <row r="303" spans="15:15" x14ac:dyDescent="0.4">
      <c r="O303" s="6"/>
    </row>
    <row r="304" spans="15:15" x14ac:dyDescent="0.4">
      <c r="O304" s="6"/>
    </row>
    <row r="305" spans="15:15" x14ac:dyDescent="0.4">
      <c r="O305" s="6"/>
    </row>
    <row r="306" spans="15:15" x14ac:dyDescent="0.4">
      <c r="O306" s="6"/>
    </row>
    <row r="307" spans="15:15" x14ac:dyDescent="0.4">
      <c r="O307" s="6"/>
    </row>
    <row r="308" spans="15:15" x14ac:dyDescent="0.4">
      <c r="O308" s="6"/>
    </row>
    <row r="309" spans="15:15" x14ac:dyDescent="0.4">
      <c r="O309" s="6"/>
    </row>
    <row r="310" spans="15:15" x14ac:dyDescent="0.4">
      <c r="O310" s="6"/>
    </row>
    <row r="311" spans="15:15" x14ac:dyDescent="0.4">
      <c r="O311" s="6"/>
    </row>
    <row r="312" spans="15:15" x14ac:dyDescent="0.4">
      <c r="O312" s="6"/>
    </row>
    <row r="313" spans="15:15" x14ac:dyDescent="0.4">
      <c r="O313" s="6"/>
    </row>
    <row r="314" spans="15:15" x14ac:dyDescent="0.4">
      <c r="O314" s="6"/>
    </row>
    <row r="315" spans="15:15" x14ac:dyDescent="0.4">
      <c r="O315" s="6"/>
    </row>
    <row r="316" spans="15:15" x14ac:dyDescent="0.4">
      <c r="O316" s="6"/>
    </row>
    <row r="317" spans="15:15" x14ac:dyDescent="0.4">
      <c r="O317" s="6"/>
    </row>
    <row r="318" spans="15:15" x14ac:dyDescent="0.4">
      <c r="O318" s="6"/>
    </row>
    <row r="319" spans="15:15" x14ac:dyDescent="0.4">
      <c r="O319" s="6"/>
    </row>
    <row r="320" spans="15:15" x14ac:dyDescent="0.4">
      <c r="O320" s="6"/>
    </row>
    <row r="321" spans="15:15" x14ac:dyDescent="0.4">
      <c r="O321" s="6"/>
    </row>
    <row r="322" spans="15:15" x14ac:dyDescent="0.4">
      <c r="O322" s="6"/>
    </row>
    <row r="323" spans="15:15" x14ac:dyDescent="0.4">
      <c r="O323" s="6"/>
    </row>
    <row r="324" spans="15:15" x14ac:dyDescent="0.4">
      <c r="O324" s="6"/>
    </row>
    <row r="325" spans="15:15" x14ac:dyDescent="0.4">
      <c r="O325" s="6"/>
    </row>
    <row r="326" spans="15:15" x14ac:dyDescent="0.4">
      <c r="O326" s="6"/>
    </row>
    <row r="327" spans="15:15" x14ac:dyDescent="0.4">
      <c r="O327" s="6"/>
    </row>
    <row r="328" spans="15:15" x14ac:dyDescent="0.4">
      <c r="O328" s="6"/>
    </row>
    <row r="329" spans="15:15" x14ac:dyDescent="0.4">
      <c r="O329" s="6"/>
    </row>
    <row r="330" spans="15:15" x14ac:dyDescent="0.4">
      <c r="O330" s="6"/>
    </row>
    <row r="331" spans="15:15" x14ac:dyDescent="0.4">
      <c r="O331" s="6"/>
    </row>
    <row r="332" spans="15:15" x14ac:dyDescent="0.4">
      <c r="O332" s="6"/>
    </row>
    <row r="333" spans="15:15" x14ac:dyDescent="0.4">
      <c r="O333" s="6"/>
    </row>
    <row r="334" spans="15:15" x14ac:dyDescent="0.4">
      <c r="O334" s="6"/>
    </row>
    <row r="335" spans="15:15" x14ac:dyDescent="0.4">
      <c r="O335" s="6"/>
    </row>
    <row r="336" spans="15:15" x14ac:dyDescent="0.4">
      <c r="O336" s="6"/>
    </row>
    <row r="337" spans="15:15" x14ac:dyDescent="0.4">
      <c r="O337" s="6"/>
    </row>
    <row r="338" spans="15:15" x14ac:dyDescent="0.4">
      <c r="O338" s="6"/>
    </row>
    <row r="339" spans="15:15" x14ac:dyDescent="0.4">
      <c r="O339" s="6"/>
    </row>
    <row r="340" spans="15:15" x14ac:dyDescent="0.4">
      <c r="O340" s="6"/>
    </row>
    <row r="341" spans="15:15" x14ac:dyDescent="0.4">
      <c r="O341" s="6"/>
    </row>
    <row r="342" spans="15:15" x14ac:dyDescent="0.4">
      <c r="O342" s="6"/>
    </row>
    <row r="343" spans="15:15" x14ac:dyDescent="0.4">
      <c r="O343" s="6"/>
    </row>
    <row r="344" spans="15:15" x14ac:dyDescent="0.4">
      <c r="O344" s="6"/>
    </row>
    <row r="345" spans="15:15" x14ac:dyDescent="0.4">
      <c r="O345" s="6"/>
    </row>
    <row r="346" spans="15:15" x14ac:dyDescent="0.4">
      <c r="O346" s="6"/>
    </row>
    <row r="347" spans="15:15" x14ac:dyDescent="0.4">
      <c r="O347" s="6"/>
    </row>
    <row r="348" spans="15:15" x14ac:dyDescent="0.4">
      <c r="O348" s="6"/>
    </row>
    <row r="349" spans="15:15" x14ac:dyDescent="0.4">
      <c r="O349" s="6"/>
    </row>
    <row r="350" spans="15:15" x14ac:dyDescent="0.4">
      <c r="O350" s="6"/>
    </row>
    <row r="351" spans="15:15" x14ac:dyDescent="0.4">
      <c r="O351" s="6"/>
    </row>
    <row r="352" spans="15:15" x14ac:dyDescent="0.4">
      <c r="O352" s="6"/>
    </row>
    <row r="353" spans="15:15" x14ac:dyDescent="0.4">
      <c r="O353" s="6"/>
    </row>
    <row r="354" spans="15:15" x14ac:dyDescent="0.4">
      <c r="O354" s="6"/>
    </row>
    <row r="355" spans="15:15" x14ac:dyDescent="0.4">
      <c r="O355" s="6"/>
    </row>
    <row r="356" spans="15:15" x14ac:dyDescent="0.4">
      <c r="O356" s="6"/>
    </row>
    <row r="357" spans="15:15" x14ac:dyDescent="0.4">
      <c r="O357" s="6"/>
    </row>
    <row r="358" spans="15:15" x14ac:dyDescent="0.4">
      <c r="O358" s="6"/>
    </row>
    <row r="359" spans="15:15" x14ac:dyDescent="0.4">
      <c r="O359" s="6"/>
    </row>
    <row r="360" spans="15:15" x14ac:dyDescent="0.4">
      <c r="O360" s="6"/>
    </row>
    <row r="361" spans="15:15" x14ac:dyDescent="0.4">
      <c r="O361" s="6"/>
    </row>
    <row r="362" spans="15:15" x14ac:dyDescent="0.4">
      <c r="O362" s="6"/>
    </row>
    <row r="363" spans="15:15" x14ac:dyDescent="0.4">
      <c r="O363" s="6"/>
    </row>
    <row r="364" spans="15:15" x14ac:dyDescent="0.4">
      <c r="O364" s="6"/>
    </row>
    <row r="365" spans="15:15" x14ac:dyDescent="0.4">
      <c r="O365" s="6"/>
    </row>
    <row r="366" spans="15:15" x14ac:dyDescent="0.4">
      <c r="O366" s="6"/>
    </row>
    <row r="367" spans="15:15" x14ac:dyDescent="0.4">
      <c r="O367" s="6"/>
    </row>
    <row r="368" spans="15:15" x14ac:dyDescent="0.4">
      <c r="O368" s="6"/>
    </row>
    <row r="369" spans="15:15" x14ac:dyDescent="0.4">
      <c r="O369" s="6"/>
    </row>
    <row r="370" spans="15:15" x14ac:dyDescent="0.4">
      <c r="O370" s="6"/>
    </row>
    <row r="371" spans="15:15" x14ac:dyDescent="0.4">
      <c r="O371" s="6"/>
    </row>
    <row r="372" spans="15:15" x14ac:dyDescent="0.4">
      <c r="O372" s="6"/>
    </row>
    <row r="373" spans="15:15" x14ac:dyDescent="0.4">
      <c r="O373" s="6"/>
    </row>
    <row r="374" spans="15:15" x14ac:dyDescent="0.4">
      <c r="O374" s="6"/>
    </row>
    <row r="375" spans="15:15" x14ac:dyDescent="0.4">
      <c r="O375" s="6"/>
    </row>
    <row r="376" spans="15:15" x14ac:dyDescent="0.4">
      <c r="O376" s="6"/>
    </row>
    <row r="377" spans="15:15" x14ac:dyDescent="0.4">
      <c r="O377" s="6"/>
    </row>
    <row r="378" spans="15:15" x14ac:dyDescent="0.4">
      <c r="O378" s="6"/>
    </row>
    <row r="379" spans="15:15" x14ac:dyDescent="0.4">
      <c r="O379" s="6"/>
    </row>
    <row r="380" spans="15:15" x14ac:dyDescent="0.4">
      <c r="O380" s="6"/>
    </row>
    <row r="381" spans="15:15" x14ac:dyDescent="0.4">
      <c r="O381" s="6"/>
    </row>
    <row r="382" spans="15:15" x14ac:dyDescent="0.4">
      <c r="O382" s="6"/>
    </row>
    <row r="383" spans="15:15" x14ac:dyDescent="0.4">
      <c r="O383" s="6"/>
    </row>
    <row r="384" spans="15:15" x14ac:dyDescent="0.4">
      <c r="O384" s="6"/>
    </row>
    <row r="385" spans="15:15" x14ac:dyDescent="0.4">
      <c r="O385" s="6"/>
    </row>
    <row r="386" spans="15:15" x14ac:dyDescent="0.4">
      <c r="O386" s="6"/>
    </row>
    <row r="387" spans="15:15" x14ac:dyDescent="0.4">
      <c r="O387" s="6"/>
    </row>
    <row r="388" spans="15:15" x14ac:dyDescent="0.4">
      <c r="O388" s="6"/>
    </row>
    <row r="389" spans="15:15" x14ac:dyDescent="0.4">
      <c r="O389" s="6"/>
    </row>
    <row r="390" spans="15:15" x14ac:dyDescent="0.4">
      <c r="O390" s="6"/>
    </row>
    <row r="391" spans="15:15" x14ac:dyDescent="0.4">
      <c r="O391" s="6"/>
    </row>
    <row r="392" spans="15:15" x14ac:dyDescent="0.4">
      <c r="O392" s="6"/>
    </row>
    <row r="393" spans="15:15" x14ac:dyDescent="0.4">
      <c r="O393" s="6"/>
    </row>
    <row r="394" spans="15:15" x14ac:dyDescent="0.4">
      <c r="O394" s="6"/>
    </row>
    <row r="395" spans="15:15" x14ac:dyDescent="0.4">
      <c r="O395" s="6"/>
    </row>
    <row r="396" spans="15:15" x14ac:dyDescent="0.4">
      <c r="O396" s="6"/>
    </row>
    <row r="397" spans="15:15" x14ac:dyDescent="0.4">
      <c r="O397" s="6"/>
    </row>
    <row r="398" spans="15:15" x14ac:dyDescent="0.4">
      <c r="O398" s="6"/>
    </row>
    <row r="399" spans="15:15" x14ac:dyDescent="0.4">
      <c r="O399" s="6"/>
    </row>
    <row r="400" spans="15:15" x14ac:dyDescent="0.4">
      <c r="O400" s="6"/>
    </row>
    <row r="401" spans="15:15" x14ac:dyDescent="0.4">
      <c r="O401" s="6"/>
    </row>
    <row r="402" spans="15:15" x14ac:dyDescent="0.4">
      <c r="O402" s="6"/>
    </row>
    <row r="403" spans="15:15" x14ac:dyDescent="0.4">
      <c r="O403" s="6"/>
    </row>
    <row r="404" spans="15:15" x14ac:dyDescent="0.4">
      <c r="O404" s="6"/>
    </row>
    <row r="405" spans="15:15" x14ac:dyDescent="0.4">
      <c r="O405" s="6"/>
    </row>
    <row r="406" spans="15:15" x14ac:dyDescent="0.4">
      <c r="O406" s="6"/>
    </row>
    <row r="407" spans="15:15" x14ac:dyDescent="0.4">
      <c r="O407" s="6"/>
    </row>
    <row r="408" spans="15:15" x14ac:dyDescent="0.4">
      <c r="O408" s="6"/>
    </row>
    <row r="409" spans="15:15" x14ac:dyDescent="0.4">
      <c r="O409" s="6"/>
    </row>
    <row r="410" spans="15:15" x14ac:dyDescent="0.4">
      <c r="O410" s="6"/>
    </row>
    <row r="411" spans="15:15" x14ac:dyDescent="0.4">
      <c r="O411" s="6"/>
    </row>
    <row r="412" spans="15:15" x14ac:dyDescent="0.4">
      <c r="O412" s="6"/>
    </row>
    <row r="413" spans="15:15" x14ac:dyDescent="0.4">
      <c r="O413" s="6"/>
    </row>
    <row r="414" spans="15:15" x14ac:dyDescent="0.4">
      <c r="O414" s="6"/>
    </row>
    <row r="415" spans="15:15" x14ac:dyDescent="0.4">
      <c r="O415" s="6"/>
    </row>
    <row r="416" spans="15:15" x14ac:dyDescent="0.4">
      <c r="O416" s="6"/>
    </row>
    <row r="417" spans="15:15" x14ac:dyDescent="0.4">
      <c r="O417" s="6"/>
    </row>
    <row r="418" spans="15:15" x14ac:dyDescent="0.4">
      <c r="O418" s="6"/>
    </row>
    <row r="419" spans="15:15" x14ac:dyDescent="0.4">
      <c r="O419" s="6"/>
    </row>
    <row r="420" spans="15:15" x14ac:dyDescent="0.4">
      <c r="O420" s="6"/>
    </row>
    <row r="421" spans="15:15" x14ac:dyDescent="0.4">
      <c r="O421" s="6"/>
    </row>
    <row r="422" spans="15:15" x14ac:dyDescent="0.4">
      <c r="O422" s="6"/>
    </row>
    <row r="423" spans="15:15" x14ac:dyDescent="0.4">
      <c r="O423" s="6"/>
    </row>
    <row r="424" spans="15:15" x14ac:dyDescent="0.4">
      <c r="O424" s="6"/>
    </row>
    <row r="425" spans="15:15" x14ac:dyDescent="0.4">
      <c r="O425" s="6"/>
    </row>
    <row r="426" spans="15:15" x14ac:dyDescent="0.4">
      <c r="O426" s="6"/>
    </row>
    <row r="427" spans="15:15" x14ac:dyDescent="0.4">
      <c r="O427" s="6"/>
    </row>
    <row r="428" spans="15:15" x14ac:dyDescent="0.4">
      <c r="O428" s="6"/>
    </row>
    <row r="429" spans="15:15" x14ac:dyDescent="0.4">
      <c r="O429" s="6"/>
    </row>
    <row r="430" spans="15:15" x14ac:dyDescent="0.4">
      <c r="O430" s="6"/>
    </row>
    <row r="431" spans="15:15" x14ac:dyDescent="0.4">
      <c r="O431" s="6"/>
    </row>
    <row r="432" spans="15:15" x14ac:dyDescent="0.4">
      <c r="O432" s="6"/>
    </row>
    <row r="433" spans="15:15" x14ac:dyDescent="0.4">
      <c r="O433" s="6"/>
    </row>
    <row r="434" spans="15:15" x14ac:dyDescent="0.4">
      <c r="O434" s="6"/>
    </row>
    <row r="435" spans="15:15" x14ac:dyDescent="0.4">
      <c r="O435" s="6"/>
    </row>
    <row r="436" spans="15:15" x14ac:dyDescent="0.4">
      <c r="O436" s="6"/>
    </row>
    <row r="437" spans="15:15" x14ac:dyDescent="0.4">
      <c r="O437" s="6"/>
    </row>
    <row r="438" spans="15:15" x14ac:dyDescent="0.4">
      <c r="O438" s="6"/>
    </row>
    <row r="439" spans="15:15" x14ac:dyDescent="0.4">
      <c r="O439" s="6"/>
    </row>
    <row r="440" spans="15:15" x14ac:dyDescent="0.4">
      <c r="O440" s="6"/>
    </row>
    <row r="441" spans="15:15" x14ac:dyDescent="0.4">
      <c r="O441" s="6"/>
    </row>
    <row r="442" spans="15:15" x14ac:dyDescent="0.4">
      <c r="O442" s="6"/>
    </row>
    <row r="443" spans="15:15" x14ac:dyDescent="0.4">
      <c r="O443" s="6"/>
    </row>
    <row r="444" spans="15:15" x14ac:dyDescent="0.4">
      <c r="O444" s="6"/>
    </row>
    <row r="445" spans="15:15" x14ac:dyDescent="0.4">
      <c r="O445" s="6"/>
    </row>
    <row r="446" spans="15:15" x14ac:dyDescent="0.4">
      <c r="O446" s="6"/>
    </row>
    <row r="447" spans="15:15" x14ac:dyDescent="0.4">
      <c r="O447" s="6"/>
    </row>
    <row r="448" spans="15:15" x14ac:dyDescent="0.4">
      <c r="O448" s="6"/>
    </row>
    <row r="449" spans="15:15" x14ac:dyDescent="0.4">
      <c r="O449" s="6"/>
    </row>
    <row r="450" spans="15:15" x14ac:dyDescent="0.4">
      <c r="O450" s="6"/>
    </row>
    <row r="451" spans="15:15" x14ac:dyDescent="0.4">
      <c r="O451" s="6"/>
    </row>
    <row r="452" spans="15:15" x14ac:dyDescent="0.4">
      <c r="O452" s="6"/>
    </row>
    <row r="453" spans="15:15" x14ac:dyDescent="0.4">
      <c r="O453" s="6"/>
    </row>
    <row r="454" spans="15:15" x14ac:dyDescent="0.4">
      <c r="O454" s="6"/>
    </row>
    <row r="455" spans="15:15" x14ac:dyDescent="0.4">
      <c r="O455" s="6"/>
    </row>
    <row r="456" spans="15:15" x14ac:dyDescent="0.4">
      <c r="O456" s="6"/>
    </row>
    <row r="457" spans="15:15" x14ac:dyDescent="0.4">
      <c r="O457" s="6"/>
    </row>
    <row r="458" spans="15:15" x14ac:dyDescent="0.4">
      <c r="O458" s="6"/>
    </row>
    <row r="459" spans="15:15" x14ac:dyDescent="0.4">
      <c r="O459" s="6"/>
    </row>
    <row r="460" spans="15:15" x14ac:dyDescent="0.4">
      <c r="O460" s="6"/>
    </row>
    <row r="461" spans="15:15" x14ac:dyDescent="0.4">
      <c r="O461" s="6"/>
    </row>
    <row r="462" spans="15:15" x14ac:dyDescent="0.4">
      <c r="O462" s="6"/>
    </row>
    <row r="463" spans="15:15" x14ac:dyDescent="0.4">
      <c r="O463" s="6"/>
    </row>
    <row r="464" spans="15:15" x14ac:dyDescent="0.4">
      <c r="O464" s="6"/>
    </row>
    <row r="465" spans="15:15" x14ac:dyDescent="0.4">
      <c r="O465" s="6"/>
    </row>
    <row r="466" spans="15:15" x14ac:dyDescent="0.4">
      <c r="O466" s="6"/>
    </row>
    <row r="467" spans="15:15" x14ac:dyDescent="0.4">
      <c r="O467" s="6"/>
    </row>
    <row r="468" spans="15:15" x14ac:dyDescent="0.4">
      <c r="O468" s="6"/>
    </row>
    <row r="469" spans="15:15" x14ac:dyDescent="0.4">
      <c r="O469" s="6"/>
    </row>
    <row r="470" spans="15:15" x14ac:dyDescent="0.4">
      <c r="O470" s="6"/>
    </row>
    <row r="471" spans="15:15" x14ac:dyDescent="0.4">
      <c r="O471" s="6"/>
    </row>
    <row r="472" spans="15:15" x14ac:dyDescent="0.4">
      <c r="O472" s="6"/>
    </row>
    <row r="473" spans="15:15" x14ac:dyDescent="0.4">
      <c r="O473" s="6"/>
    </row>
    <row r="474" spans="15:15" x14ac:dyDescent="0.4">
      <c r="O474" s="6"/>
    </row>
    <row r="475" spans="15:15" x14ac:dyDescent="0.4">
      <c r="O475" s="6"/>
    </row>
    <row r="476" spans="15:15" x14ac:dyDescent="0.4">
      <c r="O476" s="6"/>
    </row>
    <row r="477" spans="15:15" x14ac:dyDescent="0.4">
      <c r="O477" s="6"/>
    </row>
    <row r="478" spans="15:15" x14ac:dyDescent="0.4">
      <c r="O478" s="6"/>
    </row>
    <row r="479" spans="15:15" x14ac:dyDescent="0.4">
      <c r="O479" s="6"/>
    </row>
    <row r="480" spans="15:15" x14ac:dyDescent="0.4">
      <c r="O480" s="6"/>
    </row>
    <row r="481" spans="15:15" x14ac:dyDescent="0.4">
      <c r="O481" s="6"/>
    </row>
    <row r="482" spans="15:15" x14ac:dyDescent="0.4">
      <c r="O482" s="6"/>
    </row>
    <row r="483" spans="15:15" x14ac:dyDescent="0.4">
      <c r="O483" s="6"/>
    </row>
    <row r="484" spans="15:15" x14ac:dyDescent="0.4">
      <c r="O484" s="6"/>
    </row>
    <row r="485" spans="15:15" x14ac:dyDescent="0.4">
      <c r="O485" s="6"/>
    </row>
    <row r="486" spans="15:15" x14ac:dyDescent="0.4">
      <c r="O486" s="6"/>
    </row>
    <row r="487" spans="15:15" x14ac:dyDescent="0.4">
      <c r="O487" s="6"/>
    </row>
    <row r="488" spans="15:15" x14ac:dyDescent="0.4">
      <c r="O488" s="6"/>
    </row>
    <row r="489" spans="15:15" x14ac:dyDescent="0.4">
      <c r="O489" s="6"/>
    </row>
    <row r="490" spans="15:15" x14ac:dyDescent="0.4">
      <c r="O490" s="6"/>
    </row>
    <row r="491" spans="15:15" x14ac:dyDescent="0.4">
      <c r="O491" s="6"/>
    </row>
    <row r="492" spans="15:15" x14ac:dyDescent="0.4">
      <c r="O492" s="6"/>
    </row>
    <row r="493" spans="15:15" x14ac:dyDescent="0.4">
      <c r="O493" s="6"/>
    </row>
    <row r="494" spans="15:15" x14ac:dyDescent="0.4">
      <c r="O494" s="6"/>
    </row>
    <row r="495" spans="15:15" x14ac:dyDescent="0.4">
      <c r="O495" s="6"/>
    </row>
    <row r="496" spans="15:15" x14ac:dyDescent="0.4">
      <c r="O496" s="6"/>
    </row>
    <row r="497" spans="15:15" x14ac:dyDescent="0.4">
      <c r="O497" s="6"/>
    </row>
    <row r="498" spans="15:15" x14ac:dyDescent="0.4">
      <c r="O498" s="6"/>
    </row>
    <row r="499" spans="15:15" x14ac:dyDescent="0.4">
      <c r="O499" s="6"/>
    </row>
    <row r="500" spans="15:15" x14ac:dyDescent="0.4">
      <c r="O500" s="6"/>
    </row>
    <row r="501" spans="15:15" x14ac:dyDescent="0.4">
      <c r="O501" s="6"/>
    </row>
    <row r="502" spans="15:15" x14ac:dyDescent="0.4">
      <c r="O502" s="6"/>
    </row>
    <row r="503" spans="15:15" x14ac:dyDescent="0.4">
      <c r="O503" s="6"/>
    </row>
    <row r="504" spans="15:15" x14ac:dyDescent="0.4">
      <c r="O504" s="6"/>
    </row>
    <row r="505" spans="15:15" x14ac:dyDescent="0.4">
      <c r="O505" s="6"/>
    </row>
    <row r="506" spans="15:15" x14ac:dyDescent="0.4">
      <c r="O506" s="6"/>
    </row>
    <row r="507" spans="15:15" x14ac:dyDescent="0.4">
      <c r="O507" s="6"/>
    </row>
    <row r="508" spans="15:15" x14ac:dyDescent="0.4">
      <c r="O508" s="6"/>
    </row>
    <row r="509" spans="15:15" x14ac:dyDescent="0.4">
      <c r="O509" s="6"/>
    </row>
    <row r="510" spans="15:15" x14ac:dyDescent="0.4">
      <c r="O510" s="6"/>
    </row>
    <row r="511" spans="15:15" x14ac:dyDescent="0.4">
      <c r="O511" s="6"/>
    </row>
    <row r="512" spans="15:15" x14ac:dyDescent="0.4">
      <c r="O512" s="6"/>
    </row>
    <row r="513" spans="15:15" x14ac:dyDescent="0.4">
      <c r="O513" s="6"/>
    </row>
    <row r="514" spans="15:15" x14ac:dyDescent="0.4">
      <c r="O514" s="6"/>
    </row>
    <row r="515" spans="15:15" x14ac:dyDescent="0.4">
      <c r="O515" s="6"/>
    </row>
    <row r="516" spans="15:15" x14ac:dyDescent="0.4">
      <c r="O516" s="6"/>
    </row>
    <row r="517" spans="15:15" x14ac:dyDescent="0.4">
      <c r="O517" s="6"/>
    </row>
    <row r="518" spans="15:15" x14ac:dyDescent="0.4">
      <c r="O518" s="6"/>
    </row>
    <row r="519" spans="15:15" x14ac:dyDescent="0.4">
      <c r="O519" s="6"/>
    </row>
    <row r="520" spans="15:15" x14ac:dyDescent="0.4">
      <c r="O520" s="6"/>
    </row>
    <row r="521" spans="15:15" x14ac:dyDescent="0.4">
      <c r="O521" s="6"/>
    </row>
    <row r="522" spans="15:15" x14ac:dyDescent="0.4">
      <c r="O522" s="6"/>
    </row>
    <row r="523" spans="15:15" x14ac:dyDescent="0.4">
      <c r="O523" s="6"/>
    </row>
    <row r="524" spans="15:15" x14ac:dyDescent="0.4">
      <c r="O524" s="6"/>
    </row>
    <row r="525" spans="15:15" x14ac:dyDescent="0.4">
      <c r="O525" s="6"/>
    </row>
    <row r="526" spans="15:15" x14ac:dyDescent="0.4">
      <c r="O526" s="6"/>
    </row>
    <row r="527" spans="15:15" x14ac:dyDescent="0.4">
      <c r="O527" s="6"/>
    </row>
    <row r="528" spans="15:15" x14ac:dyDescent="0.4">
      <c r="O528" s="6"/>
    </row>
    <row r="529" spans="15:15" x14ac:dyDescent="0.4">
      <c r="O529" s="6"/>
    </row>
    <row r="530" spans="15:15" x14ac:dyDescent="0.4">
      <c r="O530" s="6"/>
    </row>
    <row r="531" spans="15:15" x14ac:dyDescent="0.4">
      <c r="O531" s="6"/>
    </row>
    <row r="532" spans="15:15" x14ac:dyDescent="0.4">
      <c r="O532" s="6"/>
    </row>
    <row r="533" spans="15:15" x14ac:dyDescent="0.4">
      <c r="O533" s="6"/>
    </row>
    <row r="534" spans="15:15" x14ac:dyDescent="0.4">
      <c r="O534" s="6"/>
    </row>
    <row r="535" spans="15:15" x14ac:dyDescent="0.4">
      <c r="O535" s="6"/>
    </row>
    <row r="536" spans="15:15" x14ac:dyDescent="0.4">
      <c r="O536" s="6"/>
    </row>
    <row r="537" spans="15:15" x14ac:dyDescent="0.4">
      <c r="O537" s="6"/>
    </row>
    <row r="538" spans="15:15" x14ac:dyDescent="0.4">
      <c r="O538" s="6"/>
    </row>
    <row r="539" spans="15:15" x14ac:dyDescent="0.4">
      <c r="O539" s="6"/>
    </row>
    <row r="540" spans="15:15" x14ac:dyDescent="0.4">
      <c r="O540" s="6"/>
    </row>
    <row r="541" spans="15:15" x14ac:dyDescent="0.4">
      <c r="O541" s="6"/>
    </row>
    <row r="542" spans="15:15" x14ac:dyDescent="0.4">
      <c r="O542" s="6"/>
    </row>
    <row r="543" spans="15:15" x14ac:dyDescent="0.4">
      <c r="O543" s="6"/>
    </row>
    <row r="544" spans="15:15" x14ac:dyDescent="0.4">
      <c r="O544" s="6"/>
    </row>
    <row r="545" spans="15:15" x14ac:dyDescent="0.4">
      <c r="O545" s="6"/>
    </row>
    <row r="546" spans="15:15" x14ac:dyDescent="0.4">
      <c r="O546" s="6"/>
    </row>
    <row r="547" spans="15:15" x14ac:dyDescent="0.4">
      <c r="O547" s="6"/>
    </row>
    <row r="548" spans="15:15" x14ac:dyDescent="0.4">
      <c r="O548" s="6"/>
    </row>
    <row r="549" spans="15:15" x14ac:dyDescent="0.4">
      <c r="O549" s="6"/>
    </row>
    <row r="550" spans="15:15" x14ac:dyDescent="0.4">
      <c r="O550" s="6"/>
    </row>
    <row r="551" spans="15:15" x14ac:dyDescent="0.4">
      <c r="O551" s="6"/>
    </row>
    <row r="552" spans="15:15" x14ac:dyDescent="0.4">
      <c r="O552" s="6"/>
    </row>
    <row r="553" spans="15:15" x14ac:dyDescent="0.4">
      <c r="O553" s="6"/>
    </row>
    <row r="554" spans="15:15" x14ac:dyDescent="0.4">
      <c r="O554" s="6"/>
    </row>
    <row r="555" spans="15:15" x14ac:dyDescent="0.4">
      <c r="O555" s="6"/>
    </row>
    <row r="556" spans="15:15" x14ac:dyDescent="0.4">
      <c r="O556" s="6"/>
    </row>
    <row r="557" spans="15:15" x14ac:dyDescent="0.4">
      <c r="O557" s="6"/>
    </row>
    <row r="558" spans="15:15" x14ac:dyDescent="0.4">
      <c r="O558" s="6"/>
    </row>
    <row r="559" spans="15:15" x14ac:dyDescent="0.4">
      <c r="O559" s="6"/>
    </row>
    <row r="560" spans="15:15" x14ac:dyDescent="0.4">
      <c r="O560" s="6"/>
    </row>
    <row r="561" spans="15:15" x14ac:dyDescent="0.4">
      <c r="O561" s="6"/>
    </row>
    <row r="562" spans="15:15" x14ac:dyDescent="0.4">
      <c r="O562" s="6"/>
    </row>
    <row r="563" spans="15:15" x14ac:dyDescent="0.4">
      <c r="O563" s="6"/>
    </row>
    <row r="564" spans="15:15" x14ac:dyDescent="0.4">
      <c r="O564" s="6"/>
    </row>
    <row r="565" spans="15:15" x14ac:dyDescent="0.4">
      <c r="O565" s="6"/>
    </row>
    <row r="566" spans="15:15" x14ac:dyDescent="0.4">
      <c r="O566" s="6"/>
    </row>
    <row r="567" spans="15:15" x14ac:dyDescent="0.4">
      <c r="O567" s="6"/>
    </row>
    <row r="568" spans="15:15" x14ac:dyDescent="0.4">
      <c r="O568" s="6"/>
    </row>
    <row r="569" spans="15:15" x14ac:dyDescent="0.4">
      <c r="O569" s="6"/>
    </row>
    <row r="570" spans="15:15" x14ac:dyDescent="0.4">
      <c r="O570" s="6"/>
    </row>
    <row r="571" spans="15:15" x14ac:dyDescent="0.4">
      <c r="O571" s="6"/>
    </row>
    <row r="572" spans="15:15" x14ac:dyDescent="0.4">
      <c r="O572" s="6"/>
    </row>
    <row r="573" spans="15:15" x14ac:dyDescent="0.4">
      <c r="O573" s="6"/>
    </row>
    <row r="574" spans="15:15" x14ac:dyDescent="0.4">
      <c r="O574" s="6"/>
    </row>
    <row r="575" spans="15:15" x14ac:dyDescent="0.4">
      <c r="O575" s="6"/>
    </row>
    <row r="576" spans="15:15" x14ac:dyDescent="0.4">
      <c r="O576" s="6"/>
    </row>
    <row r="577" spans="15:15" x14ac:dyDescent="0.4">
      <c r="O577" s="6"/>
    </row>
    <row r="578" spans="15:15" x14ac:dyDescent="0.4">
      <c r="O578" s="6"/>
    </row>
    <row r="579" spans="15:15" x14ac:dyDescent="0.4">
      <c r="O579" s="6"/>
    </row>
    <row r="580" spans="15:15" x14ac:dyDescent="0.4">
      <c r="O580" s="6"/>
    </row>
    <row r="581" spans="15:15" x14ac:dyDescent="0.4">
      <c r="O581" s="6"/>
    </row>
    <row r="582" spans="15:15" x14ac:dyDescent="0.4">
      <c r="O582" s="6"/>
    </row>
    <row r="583" spans="15:15" x14ac:dyDescent="0.4">
      <c r="O583" s="6"/>
    </row>
    <row r="584" spans="15:15" x14ac:dyDescent="0.4">
      <c r="O584" s="6"/>
    </row>
    <row r="585" spans="15:15" x14ac:dyDescent="0.4">
      <c r="O585" s="6"/>
    </row>
    <row r="586" spans="15:15" x14ac:dyDescent="0.4">
      <c r="O586" s="6"/>
    </row>
    <row r="587" spans="15:15" x14ac:dyDescent="0.4">
      <c r="O587" s="6"/>
    </row>
    <row r="588" spans="15:15" x14ac:dyDescent="0.4">
      <c r="O588" s="6"/>
    </row>
    <row r="589" spans="15:15" x14ac:dyDescent="0.4">
      <c r="O589" s="6"/>
    </row>
    <row r="590" spans="15:15" x14ac:dyDescent="0.4">
      <c r="O590" s="6"/>
    </row>
    <row r="591" spans="15:15" x14ac:dyDescent="0.4">
      <c r="O591" s="6"/>
    </row>
    <row r="592" spans="15:15" x14ac:dyDescent="0.4">
      <c r="O592" s="6"/>
    </row>
    <row r="593" spans="15:15" x14ac:dyDescent="0.4">
      <c r="O593" s="6"/>
    </row>
    <row r="594" spans="15:15" x14ac:dyDescent="0.4">
      <c r="O594" s="6"/>
    </row>
    <row r="595" spans="15:15" x14ac:dyDescent="0.4">
      <c r="O595" s="6"/>
    </row>
    <row r="596" spans="15:15" x14ac:dyDescent="0.4">
      <c r="O596" s="6"/>
    </row>
    <row r="597" spans="15:15" x14ac:dyDescent="0.4">
      <c r="O597" s="6"/>
    </row>
    <row r="598" spans="15:15" x14ac:dyDescent="0.4">
      <c r="O598" s="6"/>
    </row>
    <row r="599" spans="15:15" x14ac:dyDescent="0.4">
      <c r="O599" s="6"/>
    </row>
    <row r="600" spans="15:15" x14ac:dyDescent="0.4">
      <c r="O600" s="6"/>
    </row>
    <row r="601" spans="15:15" x14ac:dyDescent="0.4">
      <c r="O601" s="6"/>
    </row>
    <row r="602" spans="15:15" x14ac:dyDescent="0.4">
      <c r="O602" s="6"/>
    </row>
    <row r="603" spans="15:15" x14ac:dyDescent="0.4">
      <c r="O603" s="6"/>
    </row>
    <row r="604" spans="15:15" x14ac:dyDescent="0.4">
      <c r="O604" s="6"/>
    </row>
    <row r="605" spans="15:15" x14ac:dyDescent="0.4">
      <c r="O605" s="6"/>
    </row>
    <row r="606" spans="15:15" x14ac:dyDescent="0.4">
      <c r="O606" s="6"/>
    </row>
    <row r="607" spans="15:15" x14ac:dyDescent="0.4">
      <c r="O607" s="6"/>
    </row>
    <row r="608" spans="15:15" x14ac:dyDescent="0.4">
      <c r="O608" s="6"/>
    </row>
    <row r="609" spans="15:15" x14ac:dyDescent="0.4">
      <c r="O609" s="6"/>
    </row>
    <row r="610" spans="15:15" x14ac:dyDescent="0.4">
      <c r="O610" s="6"/>
    </row>
    <row r="611" spans="15:15" x14ac:dyDescent="0.4">
      <c r="O611" s="6"/>
    </row>
    <row r="612" spans="15:15" x14ac:dyDescent="0.4">
      <c r="O612" s="6"/>
    </row>
    <row r="613" spans="15:15" x14ac:dyDescent="0.4">
      <c r="O613" s="6"/>
    </row>
    <row r="614" spans="15:15" x14ac:dyDescent="0.4">
      <c r="O614" s="6"/>
    </row>
    <row r="615" spans="15:15" x14ac:dyDescent="0.4">
      <c r="O615" s="6"/>
    </row>
    <row r="616" spans="15:15" x14ac:dyDescent="0.4">
      <c r="O616" s="6"/>
    </row>
    <row r="617" spans="15:15" x14ac:dyDescent="0.4">
      <c r="O617" s="6"/>
    </row>
    <row r="618" spans="15:15" x14ac:dyDescent="0.4">
      <c r="O618" s="6"/>
    </row>
    <row r="619" spans="15:15" x14ac:dyDescent="0.4">
      <c r="O619" s="6"/>
    </row>
    <row r="620" spans="15:15" x14ac:dyDescent="0.4">
      <c r="O620" s="6"/>
    </row>
    <row r="621" spans="15:15" x14ac:dyDescent="0.4">
      <c r="O621" s="6"/>
    </row>
    <row r="622" spans="15:15" x14ac:dyDescent="0.4">
      <c r="O622" s="6"/>
    </row>
    <row r="623" spans="15:15" x14ac:dyDescent="0.4">
      <c r="O623" s="6"/>
    </row>
    <row r="624" spans="15:15" x14ac:dyDescent="0.4">
      <c r="O624" s="6"/>
    </row>
    <row r="625" spans="15:15" x14ac:dyDescent="0.4">
      <c r="O625" s="6"/>
    </row>
    <row r="626" spans="15:15" x14ac:dyDescent="0.4">
      <c r="O626" s="6"/>
    </row>
    <row r="627" spans="15:15" x14ac:dyDescent="0.4">
      <c r="O627" s="6"/>
    </row>
    <row r="628" spans="15:15" x14ac:dyDescent="0.4">
      <c r="O628" s="6"/>
    </row>
    <row r="629" spans="15:15" x14ac:dyDescent="0.4">
      <c r="O629" s="6"/>
    </row>
    <row r="630" spans="15:15" x14ac:dyDescent="0.4">
      <c r="O630" s="6"/>
    </row>
    <row r="631" spans="15:15" x14ac:dyDescent="0.4">
      <c r="O631" s="6"/>
    </row>
    <row r="632" spans="15:15" x14ac:dyDescent="0.4">
      <c r="O632" s="6"/>
    </row>
    <row r="633" spans="15:15" x14ac:dyDescent="0.4">
      <c r="O633" s="6"/>
    </row>
    <row r="634" spans="15:15" x14ac:dyDescent="0.4">
      <c r="O634" s="6"/>
    </row>
    <row r="635" spans="15:15" x14ac:dyDescent="0.4">
      <c r="O635" s="6"/>
    </row>
    <row r="636" spans="15:15" x14ac:dyDescent="0.4">
      <c r="O636" s="6"/>
    </row>
    <row r="637" spans="15:15" x14ac:dyDescent="0.4">
      <c r="O637" s="6"/>
    </row>
    <row r="638" spans="15:15" x14ac:dyDescent="0.4">
      <c r="O638" s="6"/>
    </row>
    <row r="639" spans="15:15" x14ac:dyDescent="0.4">
      <c r="O639" s="6"/>
    </row>
    <row r="640" spans="15:15" x14ac:dyDescent="0.4">
      <c r="O640" s="6"/>
    </row>
    <row r="641" spans="15:15" x14ac:dyDescent="0.4">
      <c r="O641" s="6"/>
    </row>
    <row r="642" spans="15:15" x14ac:dyDescent="0.4">
      <c r="O642" s="6"/>
    </row>
    <row r="643" spans="15:15" x14ac:dyDescent="0.4">
      <c r="O643" s="6"/>
    </row>
    <row r="644" spans="15:15" x14ac:dyDescent="0.4">
      <c r="O644" s="6"/>
    </row>
    <row r="645" spans="15:15" x14ac:dyDescent="0.4">
      <c r="O645" s="6"/>
    </row>
    <row r="646" spans="15:15" x14ac:dyDescent="0.4">
      <c r="O646" s="6"/>
    </row>
    <row r="647" spans="15:15" x14ac:dyDescent="0.4">
      <c r="O647" s="6"/>
    </row>
    <row r="648" spans="15:15" x14ac:dyDescent="0.4">
      <c r="O648" s="6"/>
    </row>
    <row r="649" spans="15:15" x14ac:dyDescent="0.4">
      <c r="O649" s="6"/>
    </row>
    <row r="650" spans="15:15" x14ac:dyDescent="0.4">
      <c r="O650" s="6"/>
    </row>
    <row r="651" spans="15:15" x14ac:dyDescent="0.4">
      <c r="O651" s="6"/>
    </row>
    <row r="652" spans="15:15" x14ac:dyDescent="0.4">
      <c r="O652" s="6"/>
    </row>
    <row r="653" spans="15:15" x14ac:dyDescent="0.4">
      <c r="O653" s="6"/>
    </row>
    <row r="654" spans="15:15" x14ac:dyDescent="0.4">
      <c r="O654" s="6"/>
    </row>
    <row r="655" spans="15:15" x14ac:dyDescent="0.4">
      <c r="O655" s="6"/>
    </row>
    <row r="656" spans="15:15" x14ac:dyDescent="0.4">
      <c r="O656" s="6"/>
    </row>
    <row r="657" spans="15:15" x14ac:dyDescent="0.4">
      <c r="O657" s="6"/>
    </row>
    <row r="658" spans="15:15" x14ac:dyDescent="0.4">
      <c r="O658" s="6"/>
    </row>
    <row r="659" spans="15:15" x14ac:dyDescent="0.4">
      <c r="O659" s="6"/>
    </row>
    <row r="660" spans="15:15" x14ac:dyDescent="0.4">
      <c r="O660" s="6"/>
    </row>
    <row r="661" spans="15:15" x14ac:dyDescent="0.4">
      <c r="O661" s="6"/>
    </row>
    <row r="662" spans="15:15" x14ac:dyDescent="0.4">
      <c r="O662" s="6"/>
    </row>
    <row r="663" spans="15:15" x14ac:dyDescent="0.4">
      <c r="O663" s="6"/>
    </row>
    <row r="664" spans="15:15" x14ac:dyDescent="0.4">
      <c r="O664" s="6"/>
    </row>
    <row r="665" spans="15:15" x14ac:dyDescent="0.4">
      <c r="O665" s="6"/>
    </row>
    <row r="666" spans="15:15" x14ac:dyDescent="0.4">
      <c r="O666" s="6"/>
    </row>
    <row r="667" spans="15:15" x14ac:dyDescent="0.4">
      <c r="O667" s="6"/>
    </row>
    <row r="668" spans="15:15" x14ac:dyDescent="0.4">
      <c r="O668" s="6"/>
    </row>
    <row r="669" spans="15:15" x14ac:dyDescent="0.4">
      <c r="O669" s="6"/>
    </row>
    <row r="670" spans="15:15" x14ac:dyDescent="0.4">
      <c r="O670" s="6"/>
    </row>
    <row r="671" spans="15:15" x14ac:dyDescent="0.4">
      <c r="O671" s="6"/>
    </row>
    <row r="672" spans="15:15" x14ac:dyDescent="0.4">
      <c r="O672" s="6"/>
    </row>
    <row r="673" spans="15:15" x14ac:dyDescent="0.4">
      <c r="O673" s="6"/>
    </row>
    <row r="674" spans="15:15" x14ac:dyDescent="0.4">
      <c r="O674" s="6"/>
    </row>
    <row r="675" spans="15:15" x14ac:dyDescent="0.4">
      <c r="O675" s="6"/>
    </row>
    <row r="676" spans="15:15" x14ac:dyDescent="0.4">
      <c r="O676" s="6"/>
    </row>
    <row r="677" spans="15:15" x14ac:dyDescent="0.4">
      <c r="O677" s="6"/>
    </row>
    <row r="678" spans="15:15" x14ac:dyDescent="0.4">
      <c r="O678" s="6"/>
    </row>
    <row r="679" spans="15:15" x14ac:dyDescent="0.4">
      <c r="O679" s="6"/>
    </row>
    <row r="680" spans="15:15" x14ac:dyDescent="0.4">
      <c r="O680" s="6"/>
    </row>
    <row r="681" spans="15:15" x14ac:dyDescent="0.4">
      <c r="O681" s="6"/>
    </row>
    <row r="682" spans="15:15" x14ac:dyDescent="0.4">
      <c r="O682" s="6"/>
    </row>
    <row r="683" spans="15:15" x14ac:dyDescent="0.4">
      <c r="O683" s="6"/>
    </row>
    <row r="684" spans="15:15" x14ac:dyDescent="0.4">
      <c r="O684" s="6"/>
    </row>
    <row r="685" spans="15:15" x14ac:dyDescent="0.4">
      <c r="O685" s="6"/>
    </row>
    <row r="686" spans="15:15" x14ac:dyDescent="0.4">
      <c r="O686" s="6"/>
    </row>
    <row r="687" spans="15:15" x14ac:dyDescent="0.4">
      <c r="O687" s="6"/>
    </row>
    <row r="688" spans="15:15" x14ac:dyDescent="0.4">
      <c r="O688" s="6"/>
    </row>
    <row r="689" spans="15:15" x14ac:dyDescent="0.4">
      <c r="O689" s="6"/>
    </row>
    <row r="690" spans="15:15" x14ac:dyDescent="0.4">
      <c r="O690" s="6"/>
    </row>
    <row r="691" spans="15:15" x14ac:dyDescent="0.4">
      <c r="O691" s="6"/>
    </row>
    <row r="692" spans="15:15" x14ac:dyDescent="0.4">
      <c r="O692" s="6"/>
    </row>
    <row r="693" spans="15:15" x14ac:dyDescent="0.4">
      <c r="O693" s="6"/>
    </row>
    <row r="694" spans="15:15" x14ac:dyDescent="0.4">
      <c r="O694" s="6"/>
    </row>
    <row r="695" spans="15:15" x14ac:dyDescent="0.4">
      <c r="O695" s="6"/>
    </row>
    <row r="696" spans="15:15" x14ac:dyDescent="0.4">
      <c r="O696" s="6"/>
    </row>
    <row r="697" spans="15:15" x14ac:dyDescent="0.4">
      <c r="O697" s="6"/>
    </row>
    <row r="698" spans="15:15" x14ac:dyDescent="0.4">
      <c r="O698" s="6"/>
    </row>
    <row r="699" spans="15:15" x14ac:dyDescent="0.4">
      <c r="O699" s="6"/>
    </row>
    <row r="700" spans="15:15" x14ac:dyDescent="0.4">
      <c r="O700" s="6"/>
    </row>
    <row r="701" spans="15:15" x14ac:dyDescent="0.4">
      <c r="O701" s="6"/>
    </row>
    <row r="702" spans="15:15" x14ac:dyDescent="0.4">
      <c r="O702" s="6"/>
    </row>
    <row r="703" spans="15:15" x14ac:dyDescent="0.4">
      <c r="O703" s="6"/>
    </row>
    <row r="704" spans="15:15" x14ac:dyDescent="0.4">
      <c r="O704" s="6"/>
    </row>
    <row r="705" spans="15:15" x14ac:dyDescent="0.4">
      <c r="O705" s="6"/>
    </row>
    <row r="706" spans="15:15" x14ac:dyDescent="0.4">
      <c r="O706" s="6"/>
    </row>
    <row r="707" spans="15:15" x14ac:dyDescent="0.4">
      <c r="O707" s="6"/>
    </row>
    <row r="708" spans="15:15" x14ac:dyDescent="0.4">
      <c r="O708" s="6"/>
    </row>
    <row r="709" spans="15:15" x14ac:dyDescent="0.4">
      <c r="O709" s="6"/>
    </row>
    <row r="710" spans="15:15" x14ac:dyDescent="0.4">
      <c r="O710" s="6"/>
    </row>
    <row r="711" spans="15:15" x14ac:dyDescent="0.4">
      <c r="O711" s="6"/>
    </row>
    <row r="712" spans="15:15" x14ac:dyDescent="0.4">
      <c r="O712" s="6"/>
    </row>
    <row r="713" spans="15:15" x14ac:dyDescent="0.4">
      <c r="O713" s="6"/>
    </row>
    <row r="714" spans="15:15" x14ac:dyDescent="0.4">
      <c r="O714" s="6"/>
    </row>
    <row r="715" spans="15:15" x14ac:dyDescent="0.4">
      <c r="O715" s="6"/>
    </row>
    <row r="716" spans="15:15" x14ac:dyDescent="0.4">
      <c r="O716" s="6"/>
    </row>
    <row r="717" spans="15:15" x14ac:dyDescent="0.4">
      <c r="O717" s="6"/>
    </row>
    <row r="718" spans="15:15" x14ac:dyDescent="0.4">
      <c r="O718" s="6"/>
    </row>
    <row r="719" spans="15:15" x14ac:dyDescent="0.4">
      <c r="O719" s="6"/>
    </row>
    <row r="720" spans="15:15" x14ac:dyDescent="0.4">
      <c r="O720" s="6"/>
    </row>
    <row r="721" spans="15:15" x14ac:dyDescent="0.4">
      <c r="O721" s="6"/>
    </row>
    <row r="722" spans="15:15" x14ac:dyDescent="0.4">
      <c r="O722" s="6"/>
    </row>
    <row r="723" spans="15:15" x14ac:dyDescent="0.4">
      <c r="O723" s="6"/>
    </row>
    <row r="724" spans="15:15" x14ac:dyDescent="0.4">
      <c r="O724" s="6"/>
    </row>
    <row r="725" spans="15:15" x14ac:dyDescent="0.4">
      <c r="O725" s="6"/>
    </row>
    <row r="726" spans="15:15" x14ac:dyDescent="0.4">
      <c r="O726" s="6"/>
    </row>
    <row r="727" spans="15:15" x14ac:dyDescent="0.4">
      <c r="O727" s="6"/>
    </row>
    <row r="728" spans="15:15" x14ac:dyDescent="0.4">
      <c r="O728" s="6"/>
    </row>
    <row r="729" spans="15:15" x14ac:dyDescent="0.4">
      <c r="O729" s="6"/>
    </row>
    <row r="730" spans="15:15" x14ac:dyDescent="0.4">
      <c r="O730" s="6"/>
    </row>
    <row r="731" spans="15:15" x14ac:dyDescent="0.4">
      <c r="O731" s="6"/>
    </row>
    <row r="732" spans="15:15" x14ac:dyDescent="0.4">
      <c r="O732" s="6"/>
    </row>
    <row r="733" spans="15:15" x14ac:dyDescent="0.4">
      <c r="O733" s="6"/>
    </row>
    <row r="734" spans="15:15" x14ac:dyDescent="0.4">
      <c r="O734" s="6"/>
    </row>
    <row r="735" spans="15:15" x14ac:dyDescent="0.4">
      <c r="O735" s="6"/>
    </row>
    <row r="736" spans="15:15" x14ac:dyDescent="0.4">
      <c r="O736" s="6"/>
    </row>
    <row r="737" spans="15:15" x14ac:dyDescent="0.4">
      <c r="O737" s="6"/>
    </row>
    <row r="738" spans="15:15" x14ac:dyDescent="0.4">
      <c r="O738" s="6"/>
    </row>
    <row r="739" spans="15:15" x14ac:dyDescent="0.4">
      <c r="O739" s="6"/>
    </row>
    <row r="740" spans="15:15" x14ac:dyDescent="0.4">
      <c r="O740" s="6"/>
    </row>
    <row r="741" spans="15:15" x14ac:dyDescent="0.4">
      <c r="O741" s="6"/>
    </row>
    <row r="742" spans="15:15" x14ac:dyDescent="0.4">
      <c r="O742" s="6"/>
    </row>
    <row r="743" spans="15:15" x14ac:dyDescent="0.4">
      <c r="O743" s="6"/>
    </row>
    <row r="744" spans="15:15" x14ac:dyDescent="0.4">
      <c r="O744" s="6"/>
    </row>
    <row r="745" spans="15:15" x14ac:dyDescent="0.4">
      <c r="O745" s="6"/>
    </row>
    <row r="746" spans="15:15" x14ac:dyDescent="0.4">
      <c r="O746" s="6"/>
    </row>
    <row r="747" spans="15:15" x14ac:dyDescent="0.4">
      <c r="O747" s="6"/>
    </row>
    <row r="748" spans="15:15" x14ac:dyDescent="0.4">
      <c r="O748" s="6"/>
    </row>
    <row r="749" spans="15:15" x14ac:dyDescent="0.4">
      <c r="O749" s="6"/>
    </row>
    <row r="750" spans="15:15" x14ac:dyDescent="0.4">
      <c r="O750" s="6"/>
    </row>
    <row r="751" spans="15:15" x14ac:dyDescent="0.4">
      <c r="O751" s="6"/>
    </row>
    <row r="752" spans="15:15" x14ac:dyDescent="0.4">
      <c r="O752" s="6"/>
    </row>
    <row r="753" spans="15:15" x14ac:dyDescent="0.4">
      <c r="O753" s="6"/>
    </row>
    <row r="754" spans="15:15" x14ac:dyDescent="0.4">
      <c r="O754" s="6"/>
    </row>
    <row r="755" spans="15:15" x14ac:dyDescent="0.4">
      <c r="O755" s="6"/>
    </row>
    <row r="756" spans="15:15" x14ac:dyDescent="0.4">
      <c r="O756" s="6"/>
    </row>
    <row r="757" spans="15:15" x14ac:dyDescent="0.4">
      <c r="O757" s="6"/>
    </row>
    <row r="758" spans="15:15" x14ac:dyDescent="0.4">
      <c r="O758" s="6"/>
    </row>
    <row r="759" spans="15:15" x14ac:dyDescent="0.4">
      <c r="O759" s="6"/>
    </row>
    <row r="760" spans="15:15" x14ac:dyDescent="0.4">
      <c r="O760" s="6"/>
    </row>
    <row r="761" spans="15:15" x14ac:dyDescent="0.4">
      <c r="O761" s="6"/>
    </row>
    <row r="762" spans="15:15" x14ac:dyDescent="0.4">
      <c r="O762" s="6"/>
    </row>
    <row r="763" spans="15:15" x14ac:dyDescent="0.4">
      <c r="O763" s="6"/>
    </row>
    <row r="764" spans="15:15" x14ac:dyDescent="0.4">
      <c r="O764" s="6"/>
    </row>
    <row r="765" spans="15:15" x14ac:dyDescent="0.4">
      <c r="O765" s="6"/>
    </row>
    <row r="766" spans="15:15" x14ac:dyDescent="0.4">
      <c r="O766" s="6"/>
    </row>
    <row r="767" spans="15:15" x14ac:dyDescent="0.4">
      <c r="O767" s="6"/>
    </row>
    <row r="768" spans="15:15" x14ac:dyDescent="0.4">
      <c r="O768" s="6"/>
    </row>
    <row r="769" spans="15:15" x14ac:dyDescent="0.4">
      <c r="O769" s="6"/>
    </row>
    <row r="770" spans="15:15" x14ac:dyDescent="0.4">
      <c r="O770" s="6"/>
    </row>
    <row r="771" spans="15:15" x14ac:dyDescent="0.4">
      <c r="O771" s="6"/>
    </row>
    <row r="772" spans="15:15" x14ac:dyDescent="0.4">
      <c r="O772" s="6"/>
    </row>
    <row r="773" spans="15:15" x14ac:dyDescent="0.4">
      <c r="O773" s="6"/>
    </row>
    <row r="774" spans="15:15" x14ac:dyDescent="0.4">
      <c r="O774" s="6"/>
    </row>
    <row r="775" spans="15:15" x14ac:dyDescent="0.4">
      <c r="O775" s="6"/>
    </row>
    <row r="776" spans="15:15" x14ac:dyDescent="0.4">
      <c r="O776" s="6"/>
    </row>
    <row r="777" spans="15:15" x14ac:dyDescent="0.4">
      <c r="O777" s="6"/>
    </row>
    <row r="778" spans="15:15" x14ac:dyDescent="0.4">
      <c r="O778" s="6"/>
    </row>
    <row r="779" spans="15:15" x14ac:dyDescent="0.4">
      <c r="O779" s="6"/>
    </row>
    <row r="780" spans="15:15" x14ac:dyDescent="0.4">
      <c r="O780" s="6"/>
    </row>
    <row r="781" spans="15:15" x14ac:dyDescent="0.4">
      <c r="O781" s="6"/>
    </row>
    <row r="782" spans="15:15" x14ac:dyDescent="0.4">
      <c r="O782" s="6"/>
    </row>
    <row r="783" spans="15:15" x14ac:dyDescent="0.4">
      <c r="O783" s="6"/>
    </row>
    <row r="784" spans="15:15" x14ac:dyDescent="0.4">
      <c r="O784" s="6"/>
    </row>
    <row r="785" spans="15:15" x14ac:dyDescent="0.4">
      <c r="O785" s="6"/>
    </row>
    <row r="786" spans="15:15" x14ac:dyDescent="0.4">
      <c r="O786" s="6"/>
    </row>
    <row r="787" spans="15:15" x14ac:dyDescent="0.4">
      <c r="O787" s="6"/>
    </row>
    <row r="788" spans="15:15" x14ac:dyDescent="0.4">
      <c r="O788" s="6"/>
    </row>
    <row r="789" spans="15:15" x14ac:dyDescent="0.4">
      <c r="O789" s="6"/>
    </row>
    <row r="790" spans="15:15" x14ac:dyDescent="0.4">
      <c r="O790" s="6"/>
    </row>
    <row r="791" spans="15:15" x14ac:dyDescent="0.4">
      <c r="O791" s="6"/>
    </row>
    <row r="792" spans="15:15" x14ac:dyDescent="0.4">
      <c r="O792" s="6"/>
    </row>
    <row r="793" spans="15:15" x14ac:dyDescent="0.4">
      <c r="O793" s="6"/>
    </row>
    <row r="794" spans="15:15" x14ac:dyDescent="0.4">
      <c r="O794" s="6"/>
    </row>
    <row r="795" spans="15:15" x14ac:dyDescent="0.4">
      <c r="O795" s="6"/>
    </row>
    <row r="796" spans="15:15" x14ac:dyDescent="0.4">
      <c r="O796" s="6"/>
    </row>
    <row r="797" spans="15:15" x14ac:dyDescent="0.4">
      <c r="O797" s="6"/>
    </row>
    <row r="798" spans="15:15" x14ac:dyDescent="0.4">
      <c r="O798" s="6"/>
    </row>
    <row r="799" spans="15:15" x14ac:dyDescent="0.4">
      <c r="O799" s="6"/>
    </row>
    <row r="800" spans="15:15" x14ac:dyDescent="0.4">
      <c r="O800" s="6"/>
    </row>
    <row r="801" spans="15:15" x14ac:dyDescent="0.4">
      <c r="O801" s="6"/>
    </row>
    <row r="802" spans="15:15" x14ac:dyDescent="0.4">
      <c r="O802" s="6"/>
    </row>
    <row r="803" spans="15:15" x14ac:dyDescent="0.4">
      <c r="O803" s="6"/>
    </row>
    <row r="804" spans="15:15" x14ac:dyDescent="0.4">
      <c r="O804" s="6"/>
    </row>
    <row r="805" spans="15:15" x14ac:dyDescent="0.4">
      <c r="O805" s="6"/>
    </row>
    <row r="806" spans="15:15" x14ac:dyDescent="0.4">
      <c r="O806" s="6"/>
    </row>
    <row r="807" spans="15:15" x14ac:dyDescent="0.4">
      <c r="O807" s="6"/>
    </row>
    <row r="808" spans="15:15" x14ac:dyDescent="0.4">
      <c r="O808" s="6"/>
    </row>
    <row r="809" spans="15:15" x14ac:dyDescent="0.4">
      <c r="O809" s="6"/>
    </row>
    <row r="810" spans="15:15" x14ac:dyDescent="0.4">
      <c r="O810" s="6"/>
    </row>
    <row r="811" spans="15:15" x14ac:dyDescent="0.4">
      <c r="O811" s="6"/>
    </row>
    <row r="812" spans="15:15" x14ac:dyDescent="0.4">
      <c r="O812" s="6"/>
    </row>
    <row r="813" spans="15:15" x14ac:dyDescent="0.4">
      <c r="O813" s="6"/>
    </row>
    <row r="814" spans="15:15" x14ac:dyDescent="0.4">
      <c r="O814" s="6"/>
    </row>
    <row r="815" spans="15:15" x14ac:dyDescent="0.4">
      <c r="O815" s="6"/>
    </row>
    <row r="816" spans="15:15" x14ac:dyDescent="0.4">
      <c r="O816" s="6"/>
    </row>
    <row r="817" spans="15:15" x14ac:dyDescent="0.4">
      <c r="O817" s="6"/>
    </row>
    <row r="818" spans="15:15" x14ac:dyDescent="0.4">
      <c r="O818" s="6"/>
    </row>
    <row r="819" spans="15:15" x14ac:dyDescent="0.4">
      <c r="O819" s="6"/>
    </row>
    <row r="820" spans="15:15" x14ac:dyDescent="0.4">
      <c r="O820" s="6"/>
    </row>
    <row r="821" spans="15:15" x14ac:dyDescent="0.4">
      <c r="O821" s="6"/>
    </row>
    <row r="822" spans="15:15" x14ac:dyDescent="0.4">
      <c r="O822" s="6"/>
    </row>
    <row r="823" spans="15:15" x14ac:dyDescent="0.4">
      <c r="O823" s="6"/>
    </row>
    <row r="824" spans="15:15" x14ac:dyDescent="0.4">
      <c r="O824" s="6"/>
    </row>
    <row r="825" spans="15:15" x14ac:dyDescent="0.4">
      <c r="O825" s="6"/>
    </row>
    <row r="826" spans="15:15" x14ac:dyDescent="0.4">
      <c r="O826" s="6"/>
    </row>
    <row r="827" spans="15:15" x14ac:dyDescent="0.4">
      <c r="O827" s="6"/>
    </row>
    <row r="828" spans="15:15" x14ac:dyDescent="0.4">
      <c r="O828" s="6"/>
    </row>
    <row r="829" spans="15:15" x14ac:dyDescent="0.4">
      <c r="O829" s="6"/>
    </row>
    <row r="830" spans="15:15" x14ac:dyDescent="0.4">
      <c r="O830" s="6"/>
    </row>
    <row r="831" spans="15:15" x14ac:dyDescent="0.4">
      <c r="O831" s="6"/>
    </row>
    <row r="832" spans="15:15" x14ac:dyDescent="0.4">
      <c r="O832" s="6"/>
    </row>
    <row r="833" spans="15:15" x14ac:dyDescent="0.4">
      <c r="O833" s="6"/>
    </row>
    <row r="834" spans="15:15" x14ac:dyDescent="0.4">
      <c r="O834" s="6"/>
    </row>
    <row r="835" spans="15:15" x14ac:dyDescent="0.4">
      <c r="O835" s="6"/>
    </row>
    <row r="836" spans="15:15" x14ac:dyDescent="0.4">
      <c r="O836" s="6"/>
    </row>
    <row r="837" spans="15:15" x14ac:dyDescent="0.4">
      <c r="O837" s="6"/>
    </row>
    <row r="838" spans="15:15" x14ac:dyDescent="0.4">
      <c r="O838" s="6"/>
    </row>
    <row r="839" spans="15:15" x14ac:dyDescent="0.4">
      <c r="O839" s="6"/>
    </row>
    <row r="840" spans="15:15" x14ac:dyDescent="0.4">
      <c r="O840" s="6"/>
    </row>
    <row r="841" spans="15:15" x14ac:dyDescent="0.4">
      <c r="O841" s="6"/>
    </row>
    <row r="842" spans="15:15" x14ac:dyDescent="0.4">
      <c r="O842" s="6"/>
    </row>
    <row r="843" spans="15:15" x14ac:dyDescent="0.4">
      <c r="O843" s="6"/>
    </row>
    <row r="844" spans="15:15" x14ac:dyDescent="0.4">
      <c r="O844" s="6"/>
    </row>
    <row r="845" spans="15:15" x14ac:dyDescent="0.4">
      <c r="O845" s="6"/>
    </row>
    <row r="846" spans="15:15" x14ac:dyDescent="0.4">
      <c r="O846" s="6"/>
    </row>
    <row r="847" spans="15:15" x14ac:dyDescent="0.4">
      <c r="O847" s="6"/>
    </row>
    <row r="848" spans="15:15" x14ac:dyDescent="0.4">
      <c r="O848" s="6"/>
    </row>
    <row r="849" spans="15:15" x14ac:dyDescent="0.4">
      <c r="O849" s="6"/>
    </row>
    <row r="850" spans="15:15" x14ac:dyDescent="0.4">
      <c r="O850" s="6"/>
    </row>
    <row r="851" spans="15:15" x14ac:dyDescent="0.4">
      <c r="O851" s="6"/>
    </row>
    <row r="852" spans="15:15" x14ac:dyDescent="0.4">
      <c r="O852" s="6"/>
    </row>
    <row r="853" spans="15:15" x14ac:dyDescent="0.4">
      <c r="O853" s="6"/>
    </row>
    <row r="854" spans="15:15" x14ac:dyDescent="0.4">
      <c r="O854" s="6"/>
    </row>
    <row r="855" spans="15:15" x14ac:dyDescent="0.4">
      <c r="O855" s="6"/>
    </row>
    <row r="856" spans="15:15" x14ac:dyDescent="0.4">
      <c r="O856" s="6"/>
    </row>
    <row r="857" spans="15:15" x14ac:dyDescent="0.4">
      <c r="O857" s="6"/>
    </row>
    <row r="858" spans="15:15" x14ac:dyDescent="0.4">
      <c r="O858" s="6"/>
    </row>
    <row r="859" spans="15:15" x14ac:dyDescent="0.4">
      <c r="O859" s="6"/>
    </row>
    <row r="860" spans="15:15" x14ac:dyDescent="0.4">
      <c r="O860" s="6"/>
    </row>
    <row r="861" spans="15:15" x14ac:dyDescent="0.4">
      <c r="O861" s="6"/>
    </row>
    <row r="862" spans="15:15" x14ac:dyDescent="0.4">
      <c r="O862" s="6"/>
    </row>
    <row r="863" spans="15:15" x14ac:dyDescent="0.4">
      <c r="O863" s="6"/>
    </row>
    <row r="864" spans="15:15" x14ac:dyDescent="0.4">
      <c r="O864" s="6"/>
    </row>
    <row r="865" spans="15:15" x14ac:dyDescent="0.4">
      <c r="O865" s="6"/>
    </row>
    <row r="866" spans="15:15" x14ac:dyDescent="0.4">
      <c r="O866" s="6"/>
    </row>
    <row r="867" spans="15:15" x14ac:dyDescent="0.4">
      <c r="O867" s="6"/>
    </row>
    <row r="868" spans="15:15" x14ac:dyDescent="0.4">
      <c r="O868" s="6"/>
    </row>
    <row r="869" spans="15:15" x14ac:dyDescent="0.4">
      <c r="O869" s="6"/>
    </row>
    <row r="870" spans="15:15" x14ac:dyDescent="0.4">
      <c r="O870" s="6"/>
    </row>
    <row r="871" spans="15:15" x14ac:dyDescent="0.4">
      <c r="O871" s="6"/>
    </row>
    <row r="872" spans="15:15" x14ac:dyDescent="0.4">
      <c r="O872" s="6"/>
    </row>
    <row r="873" spans="15:15" x14ac:dyDescent="0.4">
      <c r="O873" s="6"/>
    </row>
    <row r="874" spans="15:15" x14ac:dyDescent="0.4">
      <c r="O874" s="6"/>
    </row>
    <row r="875" spans="15:15" x14ac:dyDescent="0.4">
      <c r="O875" s="6"/>
    </row>
    <row r="876" spans="15:15" x14ac:dyDescent="0.4">
      <c r="O876" s="6"/>
    </row>
    <row r="877" spans="15:15" x14ac:dyDescent="0.4">
      <c r="O877" s="6"/>
    </row>
    <row r="878" spans="15:15" x14ac:dyDescent="0.4">
      <c r="O878" s="6"/>
    </row>
    <row r="879" spans="15:15" x14ac:dyDescent="0.4">
      <c r="O879" s="6"/>
    </row>
    <row r="880" spans="15:15" x14ac:dyDescent="0.4">
      <c r="O880" s="6"/>
    </row>
    <row r="881" spans="15:15" x14ac:dyDescent="0.4">
      <c r="O881" s="6"/>
    </row>
    <row r="882" spans="15:15" x14ac:dyDescent="0.4">
      <c r="O882" s="6"/>
    </row>
    <row r="883" spans="15:15" x14ac:dyDescent="0.4">
      <c r="O883" s="6"/>
    </row>
    <row r="884" spans="15:15" x14ac:dyDescent="0.4">
      <c r="O884" s="6"/>
    </row>
    <row r="885" spans="15:15" x14ac:dyDescent="0.4">
      <c r="O885" s="6"/>
    </row>
    <row r="886" spans="15:15" x14ac:dyDescent="0.4">
      <c r="O886" s="6"/>
    </row>
    <row r="887" spans="15:15" x14ac:dyDescent="0.4">
      <c r="O887" s="6"/>
    </row>
    <row r="888" spans="15:15" x14ac:dyDescent="0.4">
      <c r="O888" s="6"/>
    </row>
    <row r="889" spans="15:15" x14ac:dyDescent="0.4">
      <c r="O889" s="6"/>
    </row>
    <row r="890" spans="15:15" x14ac:dyDescent="0.4">
      <c r="O890" s="6"/>
    </row>
    <row r="891" spans="15:15" x14ac:dyDescent="0.4">
      <c r="O891" s="6"/>
    </row>
    <row r="892" spans="15:15" x14ac:dyDescent="0.4">
      <c r="O892" s="6"/>
    </row>
    <row r="893" spans="15:15" x14ac:dyDescent="0.4">
      <c r="O893" s="6"/>
    </row>
    <row r="894" spans="15:15" x14ac:dyDescent="0.4">
      <c r="O894" s="6"/>
    </row>
    <row r="895" spans="15:15" x14ac:dyDescent="0.4">
      <c r="O895" s="6"/>
    </row>
    <row r="896" spans="15:15" x14ac:dyDescent="0.4">
      <c r="O896" s="6"/>
    </row>
    <row r="897" spans="15:15" x14ac:dyDescent="0.4">
      <c r="O897" s="6"/>
    </row>
    <row r="898" spans="15:15" x14ac:dyDescent="0.4">
      <c r="O898" s="6"/>
    </row>
    <row r="899" spans="15:15" x14ac:dyDescent="0.4">
      <c r="O899" s="6"/>
    </row>
    <row r="900" spans="15:15" x14ac:dyDescent="0.4">
      <c r="O900" s="6"/>
    </row>
    <row r="901" spans="15:15" x14ac:dyDescent="0.4">
      <c r="O901" s="6"/>
    </row>
    <row r="902" spans="15:15" x14ac:dyDescent="0.4">
      <c r="O902" s="6"/>
    </row>
    <row r="903" spans="15:15" x14ac:dyDescent="0.4">
      <c r="O903" s="6"/>
    </row>
    <row r="904" spans="15:15" x14ac:dyDescent="0.4">
      <c r="O904" s="6"/>
    </row>
    <row r="905" spans="15:15" x14ac:dyDescent="0.4">
      <c r="O905" s="6"/>
    </row>
    <row r="906" spans="15:15" x14ac:dyDescent="0.4">
      <c r="O906" s="6"/>
    </row>
    <row r="907" spans="15:15" x14ac:dyDescent="0.4">
      <c r="O907" s="6"/>
    </row>
    <row r="908" spans="15:15" x14ac:dyDescent="0.4">
      <c r="O908" s="6"/>
    </row>
    <row r="909" spans="15:15" x14ac:dyDescent="0.4">
      <c r="O909" s="6"/>
    </row>
    <row r="910" spans="15:15" x14ac:dyDescent="0.4">
      <c r="O910" s="6"/>
    </row>
    <row r="911" spans="15:15" x14ac:dyDescent="0.4">
      <c r="O911" s="6"/>
    </row>
    <row r="912" spans="15:15" x14ac:dyDescent="0.4">
      <c r="O912" s="6"/>
    </row>
    <row r="913" spans="15:15" x14ac:dyDescent="0.4">
      <c r="O913" s="6"/>
    </row>
    <row r="914" spans="15:15" x14ac:dyDescent="0.4">
      <c r="O914" s="6"/>
    </row>
    <row r="915" spans="15:15" x14ac:dyDescent="0.4">
      <c r="O915" s="6"/>
    </row>
    <row r="916" spans="15:15" x14ac:dyDescent="0.4">
      <c r="O916" s="6"/>
    </row>
    <row r="917" spans="15:15" x14ac:dyDescent="0.4">
      <c r="O917" s="6"/>
    </row>
    <row r="918" spans="15:15" x14ac:dyDescent="0.4">
      <c r="O918" s="6"/>
    </row>
    <row r="919" spans="15:15" x14ac:dyDescent="0.4">
      <c r="O919" s="6"/>
    </row>
    <row r="920" spans="15:15" x14ac:dyDescent="0.4">
      <c r="O920" s="6"/>
    </row>
    <row r="921" spans="15:15" x14ac:dyDescent="0.4">
      <c r="O921" s="6"/>
    </row>
    <row r="922" spans="15:15" x14ac:dyDescent="0.4">
      <c r="O922" s="6"/>
    </row>
    <row r="923" spans="15:15" x14ac:dyDescent="0.4">
      <c r="O923" s="6"/>
    </row>
    <row r="924" spans="15:15" x14ac:dyDescent="0.4">
      <c r="O924" s="6"/>
    </row>
    <row r="925" spans="15:15" x14ac:dyDescent="0.4">
      <c r="O925" s="6"/>
    </row>
    <row r="926" spans="15:15" x14ac:dyDescent="0.4">
      <c r="O926" s="6"/>
    </row>
    <row r="927" spans="15:15" x14ac:dyDescent="0.4">
      <c r="O927" s="6"/>
    </row>
    <row r="928" spans="15:15" x14ac:dyDescent="0.4">
      <c r="O928" s="6"/>
    </row>
    <row r="929" spans="15:15" x14ac:dyDescent="0.4">
      <c r="O929" s="6"/>
    </row>
    <row r="930" spans="15:15" x14ac:dyDescent="0.4">
      <c r="O930" s="6"/>
    </row>
    <row r="931" spans="15:15" x14ac:dyDescent="0.4">
      <c r="O931" s="6"/>
    </row>
    <row r="932" spans="15:15" x14ac:dyDescent="0.4">
      <c r="O932" s="6"/>
    </row>
    <row r="933" spans="15:15" x14ac:dyDescent="0.4">
      <c r="O933" s="6"/>
    </row>
    <row r="934" spans="15:15" x14ac:dyDescent="0.4">
      <c r="O934" s="6"/>
    </row>
    <row r="935" spans="15:15" x14ac:dyDescent="0.4">
      <c r="O935" s="6"/>
    </row>
    <row r="936" spans="15:15" x14ac:dyDescent="0.4">
      <c r="O936" s="6"/>
    </row>
    <row r="937" spans="15:15" x14ac:dyDescent="0.4">
      <c r="O937" s="6"/>
    </row>
    <row r="938" spans="15:15" x14ac:dyDescent="0.4">
      <c r="O938" s="6"/>
    </row>
    <row r="939" spans="15:15" x14ac:dyDescent="0.4">
      <c r="O939" s="6"/>
    </row>
    <row r="940" spans="15:15" x14ac:dyDescent="0.4">
      <c r="O940" s="6"/>
    </row>
    <row r="941" spans="15:15" x14ac:dyDescent="0.4">
      <c r="O941" s="6"/>
    </row>
    <row r="942" spans="15:15" x14ac:dyDescent="0.4">
      <c r="O942" s="6"/>
    </row>
    <row r="943" spans="15:15" x14ac:dyDescent="0.4">
      <c r="O943" s="6"/>
    </row>
    <row r="944" spans="15:15" x14ac:dyDescent="0.4">
      <c r="O944" s="6"/>
    </row>
    <row r="945" spans="15:15" x14ac:dyDescent="0.4">
      <c r="O945" s="6"/>
    </row>
    <row r="946" spans="15:15" x14ac:dyDescent="0.4">
      <c r="O946" s="6"/>
    </row>
    <row r="947" spans="15:15" x14ac:dyDescent="0.4">
      <c r="O947" s="6"/>
    </row>
    <row r="948" spans="15:15" x14ac:dyDescent="0.4">
      <c r="O948" s="6"/>
    </row>
    <row r="949" spans="15:15" x14ac:dyDescent="0.4">
      <c r="O949" s="6"/>
    </row>
    <row r="950" spans="15:15" x14ac:dyDescent="0.4">
      <c r="O950" s="6"/>
    </row>
    <row r="951" spans="15:15" x14ac:dyDescent="0.4">
      <c r="O951" s="6"/>
    </row>
    <row r="952" spans="15:15" x14ac:dyDescent="0.4">
      <c r="O952" s="6"/>
    </row>
    <row r="953" spans="15:15" x14ac:dyDescent="0.4">
      <c r="O953" s="6"/>
    </row>
    <row r="954" spans="15:15" x14ac:dyDescent="0.4">
      <c r="O954" s="6"/>
    </row>
    <row r="955" spans="15:15" x14ac:dyDescent="0.4">
      <c r="O955" s="6"/>
    </row>
    <row r="956" spans="15:15" x14ac:dyDescent="0.4">
      <c r="O956" s="6"/>
    </row>
    <row r="957" spans="15:15" x14ac:dyDescent="0.4">
      <c r="O957" s="6"/>
    </row>
    <row r="958" spans="15:15" x14ac:dyDescent="0.4">
      <c r="O958" s="6"/>
    </row>
    <row r="959" spans="15:15" x14ac:dyDescent="0.4">
      <c r="O959" s="6"/>
    </row>
    <row r="960" spans="15:15" x14ac:dyDescent="0.4">
      <c r="O960" s="6"/>
    </row>
    <row r="961" spans="15:15" x14ac:dyDescent="0.4">
      <c r="O961" s="6"/>
    </row>
    <row r="962" spans="15:15" x14ac:dyDescent="0.4">
      <c r="O962" s="6"/>
    </row>
    <row r="963" spans="15:15" x14ac:dyDescent="0.4">
      <c r="O963" s="6"/>
    </row>
    <row r="964" spans="15:15" x14ac:dyDescent="0.4">
      <c r="O964" s="6"/>
    </row>
    <row r="965" spans="15:15" x14ac:dyDescent="0.4">
      <c r="O965" s="6"/>
    </row>
    <row r="966" spans="15:15" x14ac:dyDescent="0.4">
      <c r="O966" s="6"/>
    </row>
    <row r="967" spans="15:15" x14ac:dyDescent="0.4">
      <c r="O967" s="6"/>
    </row>
    <row r="968" spans="15:15" x14ac:dyDescent="0.4">
      <c r="O968" s="6"/>
    </row>
    <row r="969" spans="15:15" x14ac:dyDescent="0.4">
      <c r="O969" s="6"/>
    </row>
    <row r="970" spans="15:15" x14ac:dyDescent="0.4">
      <c r="O970" s="6"/>
    </row>
    <row r="971" spans="15:15" x14ac:dyDescent="0.4">
      <c r="O971" s="6"/>
    </row>
    <row r="972" spans="15:15" x14ac:dyDescent="0.4">
      <c r="O972" s="6"/>
    </row>
    <row r="973" spans="15:15" x14ac:dyDescent="0.4">
      <c r="O973" s="6"/>
    </row>
    <row r="974" spans="15:15" x14ac:dyDescent="0.4">
      <c r="O974" s="6"/>
    </row>
    <row r="975" spans="15:15" x14ac:dyDescent="0.4">
      <c r="O975" s="6"/>
    </row>
    <row r="976" spans="15:15" x14ac:dyDescent="0.4">
      <c r="O976" s="6"/>
    </row>
    <row r="977" spans="15:15" x14ac:dyDescent="0.4">
      <c r="O977" s="6"/>
    </row>
    <row r="978" spans="15:15" x14ac:dyDescent="0.4">
      <c r="O978" s="6"/>
    </row>
    <row r="979" spans="15:15" x14ac:dyDescent="0.4">
      <c r="O979" s="6"/>
    </row>
    <row r="980" spans="15:15" x14ac:dyDescent="0.4">
      <c r="O980" s="6"/>
    </row>
    <row r="981" spans="15:15" x14ac:dyDescent="0.4">
      <c r="O981" s="6"/>
    </row>
    <row r="982" spans="15:15" x14ac:dyDescent="0.4">
      <c r="O982" s="6"/>
    </row>
    <row r="983" spans="15:15" x14ac:dyDescent="0.4">
      <c r="O983" s="6"/>
    </row>
    <row r="984" spans="15:15" x14ac:dyDescent="0.4">
      <c r="O984" s="6"/>
    </row>
    <row r="985" spans="15:15" x14ac:dyDescent="0.4">
      <c r="O985" s="6"/>
    </row>
    <row r="986" spans="15:15" x14ac:dyDescent="0.4">
      <c r="O986" s="6"/>
    </row>
    <row r="987" spans="15:15" x14ac:dyDescent="0.4">
      <c r="O987" s="6"/>
    </row>
    <row r="988" spans="15:15" x14ac:dyDescent="0.4">
      <c r="O988" s="6"/>
    </row>
    <row r="989" spans="15:15" x14ac:dyDescent="0.4">
      <c r="O989" s="6"/>
    </row>
    <row r="990" spans="15:15" x14ac:dyDescent="0.4">
      <c r="O990" s="6"/>
    </row>
    <row r="991" spans="15:15" x14ac:dyDescent="0.4">
      <c r="O991" s="6"/>
    </row>
    <row r="992" spans="15:15" x14ac:dyDescent="0.4">
      <c r="O992" s="6"/>
    </row>
    <row r="993" spans="15:15" x14ac:dyDescent="0.4">
      <c r="O993" s="6"/>
    </row>
    <row r="994" spans="15:15" x14ac:dyDescent="0.4">
      <c r="O994" s="6"/>
    </row>
    <row r="995" spans="15:15" x14ac:dyDescent="0.4">
      <c r="O995" s="6"/>
    </row>
    <row r="996" spans="15:15" x14ac:dyDescent="0.4">
      <c r="O996" s="6"/>
    </row>
    <row r="997" spans="15:15" x14ac:dyDescent="0.4">
      <c r="O997" s="6"/>
    </row>
    <row r="998" spans="15:15" x14ac:dyDescent="0.4">
      <c r="O998" s="6"/>
    </row>
    <row r="999" spans="15:15" x14ac:dyDescent="0.4">
      <c r="O999" s="6"/>
    </row>
    <row r="1000" spans="15:15" x14ac:dyDescent="0.4">
      <c r="O1000" s="6"/>
    </row>
    <row r="1001" spans="15:15" x14ac:dyDescent="0.4">
      <c r="O1001" s="6"/>
    </row>
    <row r="1002" spans="15:15" x14ac:dyDescent="0.4">
      <c r="O1002" s="6"/>
    </row>
    <row r="1003" spans="15:15" x14ac:dyDescent="0.4">
      <c r="O1003" s="6"/>
    </row>
    <row r="1004" spans="15:15" x14ac:dyDescent="0.4">
      <c r="O1004" s="6"/>
    </row>
    <row r="1005" spans="15:15" x14ac:dyDescent="0.4">
      <c r="O1005" s="6"/>
    </row>
    <row r="1006" spans="15:15" x14ac:dyDescent="0.4">
      <c r="O1006" s="6"/>
    </row>
    <row r="1007" spans="15:15" x14ac:dyDescent="0.4">
      <c r="O1007" s="6"/>
    </row>
    <row r="1008" spans="15:15" x14ac:dyDescent="0.4">
      <c r="O1008" s="6"/>
    </row>
    <row r="1009" spans="15:15" x14ac:dyDescent="0.4">
      <c r="O1009" s="6"/>
    </row>
    <row r="1010" spans="15:15" x14ac:dyDescent="0.4">
      <c r="O1010" s="6"/>
    </row>
    <row r="1011" spans="15:15" x14ac:dyDescent="0.4">
      <c r="O1011" s="6"/>
    </row>
    <row r="1012" spans="15:15" x14ac:dyDescent="0.4">
      <c r="O1012" s="6"/>
    </row>
    <row r="1013" spans="15:15" x14ac:dyDescent="0.4">
      <c r="O1013" s="6"/>
    </row>
    <row r="1014" spans="15:15" x14ac:dyDescent="0.4">
      <c r="O1014" s="6"/>
    </row>
    <row r="1015" spans="15:15" x14ac:dyDescent="0.4">
      <c r="O1015" s="6"/>
    </row>
    <row r="1016" spans="15:15" x14ac:dyDescent="0.4">
      <c r="O1016" s="6"/>
    </row>
    <row r="1017" spans="15:15" x14ac:dyDescent="0.4">
      <c r="O1017" s="6"/>
    </row>
    <row r="1018" spans="15:15" x14ac:dyDescent="0.4">
      <c r="O1018" s="6"/>
    </row>
    <row r="1019" spans="15:15" x14ac:dyDescent="0.4">
      <c r="O1019" s="6"/>
    </row>
    <row r="1020" spans="15:15" x14ac:dyDescent="0.4">
      <c r="O1020" s="6"/>
    </row>
    <row r="1021" spans="15:15" x14ac:dyDescent="0.4">
      <c r="O1021" s="6"/>
    </row>
    <row r="1022" spans="15:15" x14ac:dyDescent="0.4">
      <c r="O1022" s="6"/>
    </row>
    <row r="1023" spans="15:15" x14ac:dyDescent="0.4">
      <c r="O1023" s="6"/>
    </row>
    <row r="1024" spans="15:15" x14ac:dyDescent="0.4">
      <c r="O1024" s="6"/>
    </row>
    <row r="1025" spans="15:15" x14ac:dyDescent="0.4">
      <c r="O1025" s="6"/>
    </row>
    <row r="1026" spans="15:15" x14ac:dyDescent="0.4">
      <c r="O1026" s="6"/>
    </row>
    <row r="1027" spans="15:15" x14ac:dyDescent="0.4">
      <c r="O1027" s="6"/>
    </row>
    <row r="1028" spans="15:15" x14ac:dyDescent="0.4">
      <c r="O1028" s="6"/>
    </row>
    <row r="1029" spans="15:15" x14ac:dyDescent="0.4">
      <c r="O1029" s="6"/>
    </row>
    <row r="1030" spans="15:15" x14ac:dyDescent="0.4">
      <c r="O1030" s="6"/>
    </row>
    <row r="1031" spans="15:15" x14ac:dyDescent="0.4">
      <c r="O1031" s="6"/>
    </row>
    <row r="1032" spans="15:15" x14ac:dyDescent="0.4">
      <c r="O1032" s="6"/>
    </row>
    <row r="1033" spans="15:15" x14ac:dyDescent="0.4">
      <c r="O1033" s="6"/>
    </row>
    <row r="1034" spans="15:15" x14ac:dyDescent="0.4">
      <c r="O1034" s="6"/>
    </row>
    <row r="1035" spans="15:15" x14ac:dyDescent="0.4">
      <c r="O1035" s="6"/>
    </row>
    <row r="1036" spans="15:15" x14ac:dyDescent="0.4">
      <c r="O1036" s="6"/>
    </row>
    <row r="1037" spans="15:15" x14ac:dyDescent="0.4">
      <c r="O1037" s="6"/>
    </row>
    <row r="1038" spans="15:15" x14ac:dyDescent="0.4">
      <c r="O1038" s="6"/>
    </row>
    <row r="1039" spans="15:15" x14ac:dyDescent="0.4">
      <c r="O1039" s="6"/>
    </row>
    <row r="1040" spans="15:15" x14ac:dyDescent="0.4">
      <c r="O1040" s="6"/>
    </row>
    <row r="1041" spans="15:15" x14ac:dyDescent="0.4">
      <c r="O1041" s="6"/>
    </row>
    <row r="1042" spans="15:15" x14ac:dyDescent="0.4">
      <c r="O1042" s="6"/>
    </row>
    <row r="1043" spans="15:15" x14ac:dyDescent="0.4">
      <c r="O1043" s="6"/>
    </row>
    <row r="1044" spans="15:15" x14ac:dyDescent="0.4">
      <c r="O1044" s="6"/>
    </row>
    <row r="1045" spans="15:15" x14ac:dyDescent="0.4">
      <c r="O1045" s="6"/>
    </row>
  </sheetData>
  <phoneticPr fontId="1" type="noConversion"/>
  <conditionalFormatting sqref="A5:O1046">
    <cfRule type="expression" dxfId="64" priority="6">
      <formula>MOD(ROW(),2)=1</formula>
    </cfRule>
  </conditionalFormatting>
  <conditionalFormatting sqref="E5:F5 E7:F104">
    <cfRule type="notContainsBlanks" dxfId="63" priority="3">
      <formula>LEN(TRIM(E5))&gt;0</formula>
    </cfRule>
  </conditionalFormatting>
  <conditionalFormatting sqref="B5:B104">
    <cfRule type="containsText" dxfId="62" priority="4" operator="containsText" text="extra">
      <formula>NOT(ISERROR(SEARCH("extra",B5)))</formula>
    </cfRule>
    <cfRule type="containsText" dxfId="61" priority="5" operator="containsText" text="jmc">
      <formula>NOT(ISERROR(SEARCH("jmc",B5)))</formula>
    </cfRule>
  </conditionalFormatting>
  <conditionalFormatting sqref="O5:O10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K104">
    <cfRule type="notContainsBlanks" dxfId="60" priority="1">
      <formula>LEN(TRIM(I5))&gt;0</formula>
    </cfRule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영어문장_질문봇2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영어문장_질문봇3_특정번호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8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D12" sqref="D12"/>
    </sheetView>
  </sheetViews>
  <sheetFormatPr defaultRowHeight="17.399999999999999" x14ac:dyDescent="0.4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 x14ac:dyDescent="0.4">
      <c r="A1" s="16" t="s">
        <v>241</v>
      </c>
      <c r="B1" s="7" t="s">
        <v>141</v>
      </c>
      <c r="C1" s="7" t="s">
        <v>142</v>
      </c>
      <c r="F1" s="9"/>
      <c r="G1" s="14"/>
      <c r="L1" s="1" t="s">
        <v>234</v>
      </c>
      <c r="M1" s="1"/>
      <c r="N1" s="11"/>
      <c r="O1" s="12">
        <f>SUM(L:L)/SUM(N:N)</f>
        <v>0.82495948136142627</v>
      </c>
      <c r="S1" s="16" t="s">
        <v>240</v>
      </c>
    </row>
    <row r="2" spans="1:22" s="7" customFormat="1" x14ac:dyDescent="0.4">
      <c r="B2" s="7" t="s">
        <v>143</v>
      </c>
      <c r="C2" s="7" t="s">
        <v>144</v>
      </c>
      <c r="L2" s="1" t="s">
        <v>235</v>
      </c>
      <c r="M2" s="1"/>
      <c r="N2" s="11"/>
      <c r="O2" s="8"/>
      <c r="S2" s="11" t="s">
        <v>242</v>
      </c>
      <c r="T2" s="15">
        <v>42452</v>
      </c>
    </row>
    <row r="3" spans="1:22" s="7" customFormat="1" x14ac:dyDescent="0.4">
      <c r="B3" s="9"/>
      <c r="C3" s="9"/>
      <c r="S3" s="11" t="s">
        <v>239</v>
      </c>
      <c r="T3" s="15">
        <f ca="1">TODAY()</f>
        <v>42704</v>
      </c>
      <c r="U3" s="17" t="str">
        <f ca="1">NETWORKDAYS(T2,T3)&amp;"일째"</f>
        <v>181일째</v>
      </c>
      <c r="V3" s="19" t="str">
        <f ca="1">ROUNDUP(SUM(U5:U249)/NETWORKDAYS(T2,T3),0)&amp;"개/1일"</f>
        <v>7개/1일</v>
      </c>
    </row>
    <row r="4" spans="1:22" x14ac:dyDescent="0.4">
      <c r="A4" s="3" t="s">
        <v>1</v>
      </c>
      <c r="B4" s="4" t="s">
        <v>2</v>
      </c>
      <c r="C4" s="4" t="s">
        <v>130</v>
      </c>
      <c r="D4" s="4" t="s">
        <v>132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 x14ac:dyDescent="0.4">
      <c r="A5">
        <v>1</v>
      </c>
      <c r="B5" t="s">
        <v>135</v>
      </c>
      <c r="C5" t="s">
        <v>131</v>
      </c>
      <c r="D5" t="s">
        <v>133</v>
      </c>
      <c r="E5" s="5"/>
      <c r="I5" t="s">
        <v>161</v>
      </c>
      <c r="J5" t="s">
        <v>160</v>
      </c>
      <c r="L5">
        <v>12</v>
      </c>
      <c r="M5">
        <v>1</v>
      </c>
      <c r="N5">
        <f t="shared" ref="N5:N68" si="0">IFERROR(IF(L5+M5=0,"",L5+M5),"")</f>
        <v>13</v>
      </c>
      <c r="O5" s="6">
        <f t="shared" ref="O5:O36" si="1">IFERROR(L5/(M5+L5),"")</f>
        <v>0.92307692307692313</v>
      </c>
      <c r="P5">
        <v>101.95538330078125</v>
      </c>
      <c r="S5">
        <v>1</v>
      </c>
      <c r="T5" s="13">
        <v>42452</v>
      </c>
      <c r="U5">
        <v>34</v>
      </c>
      <c r="V5">
        <f>IF(U5&gt;0,SUM($U$5:U5),"")</f>
        <v>34</v>
      </c>
    </row>
    <row r="6" spans="1:22" x14ac:dyDescent="0.4">
      <c r="A6">
        <v>2</v>
      </c>
      <c r="B6" t="s">
        <v>136</v>
      </c>
      <c r="C6" t="s">
        <v>134</v>
      </c>
      <c r="D6" t="s">
        <v>137</v>
      </c>
      <c r="I6" t="s">
        <v>161</v>
      </c>
      <c r="J6" t="s">
        <v>160</v>
      </c>
      <c r="L6">
        <v>16</v>
      </c>
      <c r="M6">
        <v>7</v>
      </c>
      <c r="N6">
        <f t="shared" si="0"/>
        <v>23</v>
      </c>
      <c r="O6" s="6">
        <f t="shared" si="1"/>
        <v>0.69565217391304346</v>
      </c>
      <c r="P6">
        <v>134.46536254882812</v>
      </c>
      <c r="S6">
        <v>2</v>
      </c>
      <c r="T6" s="13">
        <v>42452</v>
      </c>
      <c r="U6">
        <v>5</v>
      </c>
      <c r="V6">
        <f>IF(U6&gt;0,SUM($U$5:U6),"")</f>
        <v>39</v>
      </c>
    </row>
    <row r="7" spans="1:22" x14ac:dyDescent="0.4">
      <c r="A7">
        <v>3</v>
      </c>
      <c r="B7" t="s">
        <v>135</v>
      </c>
      <c r="C7" t="s">
        <v>145</v>
      </c>
      <c r="D7" t="s">
        <v>133</v>
      </c>
      <c r="E7" s="5"/>
      <c r="F7" s="5"/>
      <c r="I7" t="s">
        <v>161</v>
      </c>
      <c r="J7" t="s">
        <v>160</v>
      </c>
      <c r="L7">
        <v>11</v>
      </c>
      <c r="M7">
        <v>1</v>
      </c>
      <c r="N7">
        <f t="shared" si="0"/>
        <v>12</v>
      </c>
      <c r="O7" s="6">
        <f t="shared" si="1"/>
        <v>0.91666666666666663</v>
      </c>
      <c r="P7">
        <v>88.003082275390625</v>
      </c>
      <c r="S7">
        <v>3</v>
      </c>
      <c r="T7" s="13">
        <v>42452</v>
      </c>
      <c r="U7">
        <v>31</v>
      </c>
      <c r="V7">
        <f>IF(U7&gt;0,SUM($U$5:U7),"")</f>
        <v>70</v>
      </c>
    </row>
    <row r="8" spans="1:22" x14ac:dyDescent="0.4">
      <c r="A8">
        <v>4</v>
      </c>
      <c r="B8" t="s">
        <v>136</v>
      </c>
      <c r="C8" t="s">
        <v>146</v>
      </c>
      <c r="D8" t="s">
        <v>147</v>
      </c>
      <c r="E8" s="5"/>
      <c r="I8" t="s">
        <v>161</v>
      </c>
      <c r="J8" t="s">
        <v>160</v>
      </c>
      <c r="L8">
        <v>22</v>
      </c>
      <c r="M8">
        <v>2</v>
      </c>
      <c r="N8">
        <f t="shared" si="0"/>
        <v>24</v>
      </c>
      <c r="O8" s="6">
        <f t="shared" si="1"/>
        <v>0.91666666666666663</v>
      </c>
      <c r="P8">
        <v>100.43838500976562</v>
      </c>
      <c r="S8">
        <v>4</v>
      </c>
      <c r="T8" s="13">
        <v>42452</v>
      </c>
      <c r="U8">
        <v>27</v>
      </c>
      <c r="V8">
        <f>IF(U8&gt;0,SUM($U$5:U8),"")</f>
        <v>97</v>
      </c>
    </row>
    <row r="9" spans="1:22" x14ac:dyDescent="0.4">
      <c r="A9">
        <v>5</v>
      </c>
      <c r="B9" t="s">
        <v>135</v>
      </c>
      <c r="C9" t="s">
        <v>148</v>
      </c>
      <c r="D9" t="s">
        <v>133</v>
      </c>
      <c r="E9" s="5"/>
      <c r="I9" t="s">
        <v>161</v>
      </c>
      <c r="J9" t="s">
        <v>160</v>
      </c>
      <c r="L9">
        <v>17</v>
      </c>
      <c r="M9">
        <v>2</v>
      </c>
      <c r="N9">
        <f t="shared" si="0"/>
        <v>19</v>
      </c>
      <c r="O9" s="6">
        <f t="shared" si="1"/>
        <v>0.89473684210526316</v>
      </c>
      <c r="P9">
        <v>118.78005981445312</v>
      </c>
      <c r="S9">
        <v>5</v>
      </c>
      <c r="T9" s="13">
        <v>42452</v>
      </c>
      <c r="U9">
        <v>3</v>
      </c>
      <c r="V9">
        <f>IF(U9&gt;0,SUM($U$5:U9),"")</f>
        <v>100</v>
      </c>
    </row>
    <row r="10" spans="1:22" x14ac:dyDescent="0.4">
      <c r="A10">
        <v>6</v>
      </c>
      <c r="B10" t="s">
        <v>136</v>
      </c>
      <c r="C10" t="s">
        <v>149</v>
      </c>
      <c r="D10" t="s">
        <v>150</v>
      </c>
      <c r="E10" s="5"/>
      <c r="I10" t="s">
        <v>161</v>
      </c>
      <c r="J10" t="s">
        <v>160</v>
      </c>
      <c r="L10">
        <v>16</v>
      </c>
      <c r="M10">
        <v>7</v>
      </c>
      <c r="N10">
        <f t="shared" si="0"/>
        <v>23</v>
      </c>
      <c r="O10" s="6">
        <f t="shared" si="1"/>
        <v>0.69565217391304346</v>
      </c>
      <c r="P10">
        <v>114.738037109375</v>
      </c>
      <c r="S10">
        <v>6</v>
      </c>
      <c r="T10" s="13">
        <v>42453</v>
      </c>
      <c r="U10">
        <v>101</v>
      </c>
      <c r="V10">
        <f>IF(U10&gt;0,SUM($U$5:U10),"")</f>
        <v>201</v>
      </c>
    </row>
    <row r="11" spans="1:22" x14ac:dyDescent="0.4">
      <c r="A11">
        <v>7</v>
      </c>
      <c r="B11" t="s">
        <v>5</v>
      </c>
      <c r="C11" t="s">
        <v>151</v>
      </c>
      <c r="D11" t="s">
        <v>152</v>
      </c>
      <c r="E11" s="5"/>
      <c r="I11" t="s">
        <v>161</v>
      </c>
      <c r="J11" t="s">
        <v>160</v>
      </c>
      <c r="L11">
        <v>15</v>
      </c>
      <c r="M11">
        <v>3</v>
      </c>
      <c r="N11">
        <f t="shared" si="0"/>
        <v>18</v>
      </c>
      <c r="O11" s="6">
        <f t="shared" si="1"/>
        <v>0.83333333333333337</v>
      </c>
      <c r="P11">
        <v>125.891845703125</v>
      </c>
      <c r="S11">
        <v>7</v>
      </c>
      <c r="T11" s="13">
        <v>42454</v>
      </c>
      <c r="U11">
        <v>101</v>
      </c>
      <c r="V11">
        <f>IF(U11&gt;0,SUM($U$5:U11),"")</f>
        <v>302</v>
      </c>
    </row>
    <row r="12" spans="1:22" x14ac:dyDescent="0.4">
      <c r="A12">
        <v>8</v>
      </c>
      <c r="B12" t="s">
        <v>5</v>
      </c>
      <c r="C12" t="s">
        <v>154</v>
      </c>
      <c r="D12" t="s">
        <v>153</v>
      </c>
      <c r="E12" s="5"/>
      <c r="I12" t="s">
        <v>161</v>
      </c>
      <c r="J12" t="s">
        <v>160</v>
      </c>
      <c r="L12">
        <v>14</v>
      </c>
      <c r="M12">
        <v>2</v>
      </c>
      <c r="N12">
        <f t="shared" si="0"/>
        <v>16</v>
      </c>
      <c r="O12" s="6">
        <f t="shared" si="1"/>
        <v>0.875</v>
      </c>
      <c r="P12">
        <v>113.47251892089844</v>
      </c>
      <c r="S12">
        <v>8</v>
      </c>
      <c r="T12" s="13">
        <v>42459</v>
      </c>
      <c r="U12">
        <v>32</v>
      </c>
      <c r="V12">
        <f>IF(U12&gt;0,SUM($U$5:U12),"")</f>
        <v>334</v>
      </c>
    </row>
    <row r="13" spans="1:22" x14ac:dyDescent="0.4">
      <c r="A13">
        <v>9</v>
      </c>
      <c r="B13" t="s">
        <v>5</v>
      </c>
      <c r="C13" t="s">
        <v>156</v>
      </c>
      <c r="D13" t="s">
        <v>155</v>
      </c>
      <c r="E13" s="5"/>
      <c r="I13" t="s">
        <v>161</v>
      </c>
      <c r="J13" t="s">
        <v>160</v>
      </c>
      <c r="L13">
        <v>18</v>
      </c>
      <c r="M13">
        <v>4</v>
      </c>
      <c r="N13">
        <f t="shared" si="0"/>
        <v>22</v>
      </c>
      <c r="O13" s="6">
        <f t="shared" si="1"/>
        <v>0.81818181818181823</v>
      </c>
      <c r="P13">
        <v>136.75260925292969</v>
      </c>
      <c r="S13">
        <v>9</v>
      </c>
      <c r="T13" s="13">
        <v>42459</v>
      </c>
      <c r="U13">
        <v>33</v>
      </c>
      <c r="V13">
        <f>IF(U13&gt;0,SUM($U$5:U13),"")</f>
        <v>367</v>
      </c>
    </row>
    <row r="14" spans="1:22" x14ac:dyDescent="0.4">
      <c r="A14">
        <v>10</v>
      </c>
      <c r="B14" t="s">
        <v>5</v>
      </c>
      <c r="C14" t="s">
        <v>158</v>
      </c>
      <c r="D14" t="s">
        <v>157</v>
      </c>
      <c r="E14" s="5"/>
      <c r="I14" t="s">
        <v>161</v>
      </c>
      <c r="J14" t="s">
        <v>160</v>
      </c>
      <c r="L14">
        <v>9</v>
      </c>
      <c r="N14">
        <f t="shared" si="0"/>
        <v>9</v>
      </c>
      <c r="O14" s="6">
        <f t="shared" si="1"/>
        <v>1</v>
      </c>
      <c r="P14">
        <v>98.793060302734375</v>
      </c>
      <c r="S14">
        <v>10</v>
      </c>
      <c r="T14" s="13">
        <v>42459</v>
      </c>
      <c r="U14">
        <v>42</v>
      </c>
      <c r="V14">
        <f>IF(U14&gt;0,SUM($U$5:U14),"")</f>
        <v>409</v>
      </c>
    </row>
    <row r="15" spans="1:22" x14ac:dyDescent="0.4">
      <c r="A15">
        <v>11</v>
      </c>
      <c r="B15" t="s">
        <v>5</v>
      </c>
      <c r="C15" t="s">
        <v>159</v>
      </c>
      <c r="D15" t="s">
        <v>163</v>
      </c>
      <c r="E15" s="5"/>
      <c r="I15" t="s">
        <v>161</v>
      </c>
      <c r="J15" t="s">
        <v>160</v>
      </c>
      <c r="L15">
        <v>17</v>
      </c>
      <c r="M15">
        <v>4</v>
      </c>
      <c r="N15">
        <f t="shared" si="0"/>
        <v>21</v>
      </c>
      <c r="O15" s="6">
        <f t="shared" si="1"/>
        <v>0.80952380952380953</v>
      </c>
      <c r="P15">
        <v>138.34638977050781</v>
      </c>
      <c r="S15">
        <v>11</v>
      </c>
      <c r="T15" s="13">
        <v>42459</v>
      </c>
      <c r="U15">
        <v>3</v>
      </c>
      <c r="V15">
        <f>IF(U15&gt;0,SUM($U$5:U15),"")</f>
        <v>412</v>
      </c>
    </row>
    <row r="16" spans="1:22" x14ac:dyDescent="0.4">
      <c r="A16">
        <v>12</v>
      </c>
      <c r="B16" t="s">
        <v>164</v>
      </c>
      <c r="C16" t="s">
        <v>165</v>
      </c>
      <c r="D16" t="s">
        <v>166</v>
      </c>
      <c r="E16" s="5"/>
      <c r="I16" t="s">
        <v>161</v>
      </c>
      <c r="J16" t="s">
        <v>167</v>
      </c>
      <c r="L16">
        <v>10</v>
      </c>
      <c r="M16">
        <v>1</v>
      </c>
      <c r="N16">
        <f t="shared" si="0"/>
        <v>11</v>
      </c>
      <c r="O16" s="6">
        <f t="shared" si="1"/>
        <v>0.90909090909090906</v>
      </c>
      <c r="P16">
        <v>90.008132934570313</v>
      </c>
      <c r="S16">
        <v>12</v>
      </c>
      <c r="T16" s="13">
        <v>42460</v>
      </c>
      <c r="U16">
        <v>39</v>
      </c>
      <c r="V16">
        <f>IF(U16&gt;0,SUM($U$5:U16),"")</f>
        <v>451</v>
      </c>
    </row>
    <row r="17" spans="1:22" x14ac:dyDescent="0.4">
      <c r="A17">
        <v>13</v>
      </c>
      <c r="B17" t="s">
        <v>168</v>
      </c>
      <c r="C17" t="s">
        <v>169</v>
      </c>
      <c r="D17" t="s">
        <v>170</v>
      </c>
      <c r="E17" s="5"/>
      <c r="I17" t="s">
        <v>161</v>
      </c>
      <c r="J17" t="s">
        <v>167</v>
      </c>
      <c r="L17">
        <v>10</v>
      </c>
      <c r="N17">
        <f t="shared" si="0"/>
        <v>10</v>
      </c>
      <c r="O17" s="6">
        <f t="shared" si="1"/>
        <v>1</v>
      </c>
      <c r="P17">
        <v>132.60737609863281</v>
      </c>
      <c r="S17">
        <v>13</v>
      </c>
      <c r="T17" s="13">
        <v>42460</v>
      </c>
      <c r="U17">
        <v>17</v>
      </c>
      <c r="V17">
        <f>IF(U17&gt;0,SUM($U$5:U17),"")</f>
        <v>468</v>
      </c>
    </row>
    <row r="18" spans="1:22" x14ac:dyDescent="0.4">
      <c r="A18">
        <v>14</v>
      </c>
      <c r="B18" t="s">
        <v>171</v>
      </c>
      <c r="C18" t="s">
        <v>172</v>
      </c>
      <c r="D18" t="s">
        <v>173</v>
      </c>
      <c r="E18" s="5"/>
      <c r="I18" t="s">
        <v>161</v>
      </c>
      <c r="J18" t="s">
        <v>167</v>
      </c>
      <c r="L18">
        <v>10</v>
      </c>
      <c r="N18">
        <f t="shared" si="0"/>
        <v>10</v>
      </c>
      <c r="O18" s="6">
        <f t="shared" si="1"/>
        <v>1</v>
      </c>
      <c r="P18">
        <v>115.72430419921875</v>
      </c>
      <c r="S18">
        <v>14</v>
      </c>
      <c r="T18" s="13">
        <v>42460</v>
      </c>
      <c r="U18">
        <v>12</v>
      </c>
      <c r="V18">
        <f>IF(U18&gt;0,SUM($U$5:U18),"")</f>
        <v>480</v>
      </c>
    </row>
    <row r="19" spans="1:22" x14ac:dyDescent="0.4">
      <c r="A19">
        <v>15</v>
      </c>
      <c r="B19" t="s">
        <v>174</v>
      </c>
      <c r="C19" t="s">
        <v>175</v>
      </c>
      <c r="D19" t="s">
        <v>209</v>
      </c>
      <c r="E19" s="5"/>
      <c r="I19" t="s">
        <v>161</v>
      </c>
      <c r="J19" t="s">
        <v>181</v>
      </c>
      <c r="L19">
        <v>11</v>
      </c>
      <c r="N19">
        <f t="shared" si="0"/>
        <v>11</v>
      </c>
      <c r="O19" s="6">
        <f t="shared" si="1"/>
        <v>1</v>
      </c>
      <c r="P19">
        <v>120.54977416992187</v>
      </c>
      <c r="S19">
        <v>15</v>
      </c>
      <c r="T19" s="13">
        <v>42460</v>
      </c>
      <c r="U19">
        <v>16</v>
      </c>
      <c r="V19">
        <f>IF(U19&gt;0,SUM($U$5:U19),"")</f>
        <v>496</v>
      </c>
    </row>
    <row r="20" spans="1:22" x14ac:dyDescent="0.4">
      <c r="A20">
        <v>16</v>
      </c>
      <c r="B20" t="s">
        <v>176</v>
      </c>
      <c r="C20" t="s">
        <v>177</v>
      </c>
      <c r="D20" t="s">
        <v>178</v>
      </c>
      <c r="E20" s="5"/>
      <c r="I20" t="s">
        <v>161</v>
      </c>
      <c r="J20" t="s">
        <v>181</v>
      </c>
      <c r="L20">
        <v>10</v>
      </c>
      <c r="N20">
        <f t="shared" si="0"/>
        <v>10</v>
      </c>
      <c r="O20" s="6">
        <f t="shared" si="1"/>
        <v>1</v>
      </c>
      <c r="P20">
        <v>84.76708984375</v>
      </c>
      <c r="S20">
        <v>16</v>
      </c>
      <c r="T20" s="13">
        <v>42461</v>
      </c>
      <c r="U20">
        <v>25</v>
      </c>
      <c r="V20">
        <f>IF(U20&gt;0,SUM($U$5:U20),"")</f>
        <v>521</v>
      </c>
    </row>
    <row r="21" spans="1:22" x14ac:dyDescent="0.4">
      <c r="A21">
        <v>17</v>
      </c>
      <c r="B21" t="s">
        <v>168</v>
      </c>
      <c r="C21" t="s">
        <v>179</v>
      </c>
      <c r="D21" t="s">
        <v>180</v>
      </c>
      <c r="E21" s="5"/>
      <c r="I21" t="s">
        <v>161</v>
      </c>
      <c r="J21" t="s">
        <v>181</v>
      </c>
      <c r="L21">
        <v>10</v>
      </c>
      <c r="M21">
        <v>2</v>
      </c>
      <c r="N21">
        <f t="shared" si="0"/>
        <v>12</v>
      </c>
      <c r="O21" s="6">
        <f t="shared" si="1"/>
        <v>0.83333333333333337</v>
      </c>
      <c r="P21">
        <v>94.15399169921875</v>
      </c>
      <c r="S21">
        <v>17</v>
      </c>
      <c r="T21" s="13">
        <v>42461</v>
      </c>
      <c r="U21">
        <v>28</v>
      </c>
      <c r="V21">
        <f>IF(U21&gt;0,SUM($U$5:U21),"")</f>
        <v>549</v>
      </c>
    </row>
    <row r="22" spans="1:22" x14ac:dyDescent="0.4">
      <c r="A22">
        <v>18</v>
      </c>
      <c r="B22" t="s">
        <v>164</v>
      </c>
      <c r="C22" s="10" t="s">
        <v>184</v>
      </c>
      <c r="D22" t="s">
        <v>185</v>
      </c>
      <c r="E22" s="5"/>
      <c r="I22" t="s">
        <v>161</v>
      </c>
      <c r="J22" t="s">
        <v>181</v>
      </c>
      <c r="L22">
        <v>10</v>
      </c>
      <c r="N22">
        <f t="shared" si="0"/>
        <v>10</v>
      </c>
      <c r="O22" s="6">
        <f t="shared" si="1"/>
        <v>1</v>
      </c>
      <c r="P22">
        <v>87.883193969726562</v>
      </c>
      <c r="S22">
        <v>18</v>
      </c>
      <c r="T22" s="13">
        <v>42464</v>
      </c>
      <c r="U22">
        <v>22</v>
      </c>
      <c r="V22">
        <f>IF(U22&gt;0,SUM($U$5:U22),"")</f>
        <v>571</v>
      </c>
    </row>
    <row r="23" spans="1:22" x14ac:dyDescent="0.4">
      <c r="A23">
        <v>19</v>
      </c>
      <c r="B23" t="s">
        <v>168</v>
      </c>
      <c r="C23" t="s">
        <v>182</v>
      </c>
      <c r="D23" t="s">
        <v>183</v>
      </c>
      <c r="E23" s="5"/>
      <c r="I23" t="s">
        <v>161</v>
      </c>
      <c r="J23" t="s">
        <v>181</v>
      </c>
      <c r="L23">
        <v>10</v>
      </c>
      <c r="M23">
        <v>2</v>
      </c>
      <c r="N23">
        <f t="shared" si="0"/>
        <v>12</v>
      </c>
      <c r="O23" s="6">
        <f t="shared" si="1"/>
        <v>0.83333333333333337</v>
      </c>
      <c r="P23">
        <v>124.24873352050781</v>
      </c>
      <c r="S23">
        <v>19</v>
      </c>
      <c r="T23" s="13">
        <v>42464</v>
      </c>
      <c r="U23">
        <v>22</v>
      </c>
      <c r="V23">
        <f>IF(U23&gt;0,SUM($U$5:U23),"")</f>
        <v>593</v>
      </c>
    </row>
    <row r="24" spans="1:22" x14ac:dyDescent="0.4">
      <c r="A24">
        <v>20</v>
      </c>
      <c r="B24" t="s">
        <v>164</v>
      </c>
      <c r="C24" t="s">
        <v>186</v>
      </c>
      <c r="D24" t="s">
        <v>185</v>
      </c>
      <c r="E24" s="5"/>
      <c r="I24" t="s">
        <v>161</v>
      </c>
      <c r="J24" t="s">
        <v>181</v>
      </c>
      <c r="L24">
        <v>10</v>
      </c>
      <c r="N24">
        <f t="shared" si="0"/>
        <v>10</v>
      </c>
      <c r="O24" s="6">
        <f t="shared" si="1"/>
        <v>1</v>
      </c>
      <c r="P24">
        <v>120.00538635253906</v>
      </c>
      <c r="S24">
        <v>20</v>
      </c>
      <c r="T24" s="13">
        <v>42464</v>
      </c>
      <c r="U24">
        <v>21</v>
      </c>
      <c r="V24">
        <f>IF(U24&gt;0,SUM($U$5:U24),"")</f>
        <v>614</v>
      </c>
    </row>
    <row r="25" spans="1:22" x14ac:dyDescent="0.4">
      <c r="A25">
        <v>21</v>
      </c>
      <c r="B25" t="s">
        <v>168</v>
      </c>
      <c r="C25" t="s">
        <v>187</v>
      </c>
      <c r="D25" t="s">
        <v>188</v>
      </c>
      <c r="E25" s="5"/>
      <c r="I25" t="s">
        <v>161</v>
      </c>
      <c r="J25" t="s">
        <v>181</v>
      </c>
      <c r="L25">
        <v>9</v>
      </c>
      <c r="N25">
        <f t="shared" si="0"/>
        <v>9</v>
      </c>
      <c r="O25" s="6">
        <f t="shared" si="1"/>
        <v>1</v>
      </c>
      <c r="P25">
        <v>123.68190002441406</v>
      </c>
      <c r="S25">
        <v>21</v>
      </c>
      <c r="T25" s="13">
        <v>42465</v>
      </c>
      <c r="U25">
        <v>12</v>
      </c>
      <c r="V25">
        <f>IF(U25&gt;0,SUM($U$5:U25),"")</f>
        <v>626</v>
      </c>
    </row>
    <row r="26" spans="1:22" x14ac:dyDescent="0.4">
      <c r="A26">
        <v>22</v>
      </c>
      <c r="B26" t="s">
        <v>171</v>
      </c>
      <c r="C26" t="s">
        <v>189</v>
      </c>
      <c r="D26" t="s">
        <v>190</v>
      </c>
      <c r="E26" s="5"/>
      <c r="I26" t="s">
        <v>161</v>
      </c>
      <c r="J26" t="s">
        <v>181</v>
      </c>
      <c r="L26">
        <v>8</v>
      </c>
      <c r="M26">
        <v>1</v>
      </c>
      <c r="N26">
        <f t="shared" si="0"/>
        <v>9</v>
      </c>
      <c r="O26" s="6">
        <f t="shared" si="1"/>
        <v>0.88888888888888884</v>
      </c>
      <c r="P26">
        <v>104.62139892578125</v>
      </c>
      <c r="S26">
        <v>22</v>
      </c>
      <c r="T26" s="13">
        <v>42465</v>
      </c>
      <c r="U26">
        <v>15</v>
      </c>
      <c r="V26">
        <f>IF(U26&gt;0,SUM($U$5:U26),"")</f>
        <v>641</v>
      </c>
    </row>
    <row r="27" spans="1:22" x14ac:dyDescent="0.4">
      <c r="A27">
        <v>23</v>
      </c>
      <c r="B27" t="s">
        <v>171</v>
      </c>
      <c r="C27" t="s">
        <v>191</v>
      </c>
      <c r="D27" t="s">
        <v>192</v>
      </c>
      <c r="E27" s="5"/>
      <c r="I27" t="s">
        <v>161</v>
      </c>
      <c r="J27" t="s">
        <v>181</v>
      </c>
      <c r="L27">
        <v>14</v>
      </c>
      <c r="M27">
        <v>4</v>
      </c>
      <c r="N27">
        <f t="shared" si="0"/>
        <v>18</v>
      </c>
      <c r="O27" s="6">
        <f t="shared" si="1"/>
        <v>0.77777777777777779</v>
      </c>
      <c r="P27">
        <v>120.40034484863281</v>
      </c>
      <c r="S27">
        <v>23</v>
      </c>
      <c r="T27" s="13">
        <v>42465</v>
      </c>
      <c r="U27">
        <v>18</v>
      </c>
      <c r="V27">
        <f>IF(U27&gt;0,SUM($U$5:U27),"")</f>
        <v>659</v>
      </c>
    </row>
    <row r="28" spans="1:22" x14ac:dyDescent="0.4">
      <c r="A28">
        <v>24</v>
      </c>
      <c r="B28" t="s">
        <v>171</v>
      </c>
      <c r="C28" t="s">
        <v>193</v>
      </c>
      <c r="D28" t="s">
        <v>194</v>
      </c>
      <c r="E28" s="5"/>
      <c r="I28" t="s">
        <v>161</v>
      </c>
      <c r="J28" t="s">
        <v>181</v>
      </c>
      <c r="L28">
        <v>11</v>
      </c>
      <c r="M28">
        <v>2</v>
      </c>
      <c r="N28">
        <f t="shared" si="0"/>
        <v>13</v>
      </c>
      <c r="O28" s="6">
        <f t="shared" si="1"/>
        <v>0.84615384615384615</v>
      </c>
      <c r="P28">
        <v>114.05499267578125</v>
      </c>
      <c r="S28">
        <v>24</v>
      </c>
      <c r="T28" s="13">
        <v>42466</v>
      </c>
      <c r="U28">
        <v>114</v>
      </c>
      <c r="V28">
        <f>IF(U28&gt;0,SUM($U$5:U28),"")</f>
        <v>773</v>
      </c>
    </row>
    <row r="29" spans="1:22" x14ac:dyDescent="0.4">
      <c r="A29">
        <v>25</v>
      </c>
      <c r="B29" t="s">
        <v>164</v>
      </c>
      <c r="C29" s="10" t="s">
        <v>198</v>
      </c>
      <c r="D29" t="s">
        <v>195</v>
      </c>
      <c r="E29" s="5"/>
      <c r="I29" t="s">
        <v>161</v>
      </c>
      <c r="J29" t="s">
        <v>197</v>
      </c>
      <c r="L29">
        <v>13</v>
      </c>
      <c r="M29">
        <v>2</v>
      </c>
      <c r="N29">
        <f t="shared" si="0"/>
        <v>15</v>
      </c>
      <c r="O29" s="6">
        <f t="shared" si="1"/>
        <v>0.8666666666666667</v>
      </c>
      <c r="P29">
        <v>110.40121459960937</v>
      </c>
      <c r="S29">
        <v>25</v>
      </c>
      <c r="T29" s="13">
        <v>42496</v>
      </c>
      <c r="U29">
        <v>109</v>
      </c>
      <c r="V29">
        <f>IF(U29&gt;0,SUM($U$5:U29),"")</f>
        <v>882</v>
      </c>
    </row>
    <row r="30" spans="1:22" x14ac:dyDescent="0.4">
      <c r="A30">
        <v>26</v>
      </c>
      <c r="B30" t="s">
        <v>168</v>
      </c>
      <c r="C30" t="s">
        <v>271</v>
      </c>
      <c r="D30" t="s">
        <v>196</v>
      </c>
      <c r="E30" s="5"/>
      <c r="I30" t="s">
        <v>161</v>
      </c>
      <c r="J30" t="s">
        <v>197</v>
      </c>
      <c r="L30">
        <v>16</v>
      </c>
      <c r="M30">
        <v>10</v>
      </c>
      <c r="N30">
        <f t="shared" si="0"/>
        <v>26</v>
      </c>
      <c r="O30" s="6">
        <f t="shared" si="1"/>
        <v>0.61538461538461542</v>
      </c>
      <c r="P30">
        <v>97.410186767578125</v>
      </c>
      <c r="S30">
        <v>26</v>
      </c>
      <c r="T30" s="13">
        <v>42498</v>
      </c>
      <c r="U30">
        <v>115</v>
      </c>
      <c r="V30">
        <f>IF(U30&gt;0,SUM($U$5:U30),"")</f>
        <v>997</v>
      </c>
    </row>
    <row r="31" spans="1:22" x14ac:dyDescent="0.4">
      <c r="A31">
        <v>27</v>
      </c>
      <c r="B31" t="s">
        <v>168</v>
      </c>
      <c r="C31" t="s">
        <v>510</v>
      </c>
      <c r="D31" t="s">
        <v>199</v>
      </c>
      <c r="E31" s="5"/>
      <c r="I31" t="s">
        <v>161</v>
      </c>
      <c r="J31" t="s">
        <v>197</v>
      </c>
      <c r="L31">
        <v>15</v>
      </c>
      <c r="M31">
        <v>5</v>
      </c>
      <c r="N31">
        <f t="shared" si="0"/>
        <v>20</v>
      </c>
      <c r="O31" s="6">
        <f t="shared" si="1"/>
        <v>0.75</v>
      </c>
      <c r="P31">
        <v>122.39796447753906</v>
      </c>
      <c r="S31">
        <v>27</v>
      </c>
      <c r="T31" s="13">
        <v>42499</v>
      </c>
      <c r="U31">
        <v>119</v>
      </c>
      <c r="V31">
        <f>IF(U31&gt;0,SUM($U$5:U31),"")</f>
        <v>1116</v>
      </c>
    </row>
    <row r="32" spans="1:22" x14ac:dyDescent="0.4">
      <c r="A32">
        <v>28</v>
      </c>
      <c r="B32" t="s">
        <v>168</v>
      </c>
      <c r="C32" t="s">
        <v>200</v>
      </c>
      <c r="D32" t="s">
        <v>201</v>
      </c>
      <c r="E32" s="5"/>
      <c r="I32" t="s">
        <v>161</v>
      </c>
      <c r="J32" t="s">
        <v>197</v>
      </c>
      <c r="L32">
        <v>9</v>
      </c>
      <c r="M32">
        <v>2</v>
      </c>
      <c r="N32">
        <f t="shared" si="0"/>
        <v>11</v>
      </c>
      <c r="O32" s="6">
        <f t="shared" si="1"/>
        <v>0.81818181818181823</v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 x14ac:dyDescent="0.4">
      <c r="A33">
        <v>29</v>
      </c>
      <c r="B33" t="s">
        <v>202</v>
      </c>
      <c r="C33" t="s">
        <v>203</v>
      </c>
      <c r="D33" t="s">
        <v>204</v>
      </c>
      <c r="E33" s="5"/>
      <c r="I33" t="s">
        <v>161</v>
      </c>
      <c r="J33" t="s">
        <v>197</v>
      </c>
      <c r="L33">
        <v>10</v>
      </c>
      <c r="M33">
        <v>3</v>
      </c>
      <c r="N33">
        <f t="shared" si="0"/>
        <v>13</v>
      </c>
      <c r="O33" s="6">
        <f t="shared" si="1"/>
        <v>0.76923076923076927</v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 x14ac:dyDescent="0.4">
      <c r="A34">
        <v>30</v>
      </c>
      <c r="B34" t="s">
        <v>168</v>
      </c>
      <c r="C34" t="s">
        <v>205</v>
      </c>
      <c r="D34" t="s">
        <v>206</v>
      </c>
      <c r="E34" s="5"/>
      <c r="I34" t="s">
        <v>161</v>
      </c>
      <c r="J34" t="s">
        <v>197</v>
      </c>
      <c r="L34">
        <v>10</v>
      </c>
      <c r="M34">
        <v>2</v>
      </c>
      <c r="N34">
        <f t="shared" si="0"/>
        <v>12</v>
      </c>
      <c r="O34" s="6">
        <f t="shared" si="1"/>
        <v>0.83333333333333337</v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 x14ac:dyDescent="0.4">
      <c r="A35">
        <v>31</v>
      </c>
      <c r="B35" t="s">
        <v>171</v>
      </c>
      <c r="C35" t="s">
        <v>208</v>
      </c>
      <c r="D35" t="s">
        <v>207</v>
      </c>
      <c r="E35" s="5"/>
      <c r="I35" t="s">
        <v>161</v>
      </c>
      <c r="J35" t="s">
        <v>197</v>
      </c>
      <c r="L35">
        <v>15</v>
      </c>
      <c r="M35">
        <v>4</v>
      </c>
      <c r="N35">
        <f t="shared" si="0"/>
        <v>19</v>
      </c>
      <c r="O35" s="6">
        <f t="shared" si="1"/>
        <v>0.78947368421052633</v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 x14ac:dyDescent="0.4">
      <c r="A36">
        <v>32</v>
      </c>
      <c r="B36" t="s">
        <v>210</v>
      </c>
      <c r="C36" t="s">
        <v>211</v>
      </c>
      <c r="D36" t="s">
        <v>212</v>
      </c>
      <c r="E36" s="5"/>
      <c r="I36" t="s">
        <v>161</v>
      </c>
      <c r="J36" t="s">
        <v>213</v>
      </c>
      <c r="L36">
        <v>11</v>
      </c>
      <c r="M36">
        <v>2</v>
      </c>
      <c r="N36">
        <f t="shared" si="0"/>
        <v>13</v>
      </c>
      <c r="O36" s="6">
        <f t="shared" si="1"/>
        <v>0.84615384615384615</v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 x14ac:dyDescent="0.4">
      <c r="A37">
        <v>33</v>
      </c>
      <c r="B37" t="s">
        <v>214</v>
      </c>
      <c r="C37" t="s">
        <v>215</v>
      </c>
      <c r="D37" t="s">
        <v>216</v>
      </c>
      <c r="E37" s="5"/>
      <c r="I37" t="s">
        <v>161</v>
      </c>
      <c r="J37" t="s">
        <v>213</v>
      </c>
      <c r="L37">
        <v>13</v>
      </c>
      <c r="M37">
        <v>5</v>
      </c>
      <c r="N37">
        <f t="shared" si="0"/>
        <v>18</v>
      </c>
      <c r="O37" s="6">
        <f t="shared" ref="O37:O68" si="2">IFERROR(L37/(M37+L37),"")</f>
        <v>0.72222222222222221</v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 x14ac:dyDescent="0.4">
      <c r="A38">
        <v>34</v>
      </c>
      <c r="B38" t="s">
        <v>210</v>
      </c>
      <c r="C38" t="s">
        <v>218</v>
      </c>
      <c r="D38" t="s">
        <v>217</v>
      </c>
      <c r="E38" s="5"/>
      <c r="I38" t="s">
        <v>161</v>
      </c>
      <c r="J38" t="s">
        <v>213</v>
      </c>
      <c r="L38">
        <v>11</v>
      </c>
      <c r="N38">
        <f t="shared" si="0"/>
        <v>11</v>
      </c>
      <c r="O38" s="6">
        <f t="shared" si="2"/>
        <v>1</v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 x14ac:dyDescent="0.4">
      <c r="A39">
        <v>35</v>
      </c>
      <c r="B39" t="s">
        <v>219</v>
      </c>
      <c r="C39" t="s">
        <v>220</v>
      </c>
      <c r="D39" t="s">
        <v>221</v>
      </c>
      <c r="E39" s="5"/>
      <c r="I39" t="s">
        <v>161</v>
      </c>
      <c r="J39" t="s">
        <v>213</v>
      </c>
      <c r="L39">
        <v>15</v>
      </c>
      <c r="M39">
        <v>6</v>
      </c>
      <c r="N39">
        <f t="shared" si="0"/>
        <v>21</v>
      </c>
      <c r="O39" s="6">
        <f t="shared" si="2"/>
        <v>0.7142857142857143</v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 x14ac:dyDescent="0.4">
      <c r="A40">
        <v>36</v>
      </c>
      <c r="B40" t="s">
        <v>210</v>
      </c>
      <c r="C40" t="s">
        <v>222</v>
      </c>
      <c r="D40" t="s">
        <v>217</v>
      </c>
      <c r="E40" s="5"/>
      <c r="I40" t="s">
        <v>161</v>
      </c>
      <c r="J40" t="s">
        <v>213</v>
      </c>
      <c r="L40">
        <v>9</v>
      </c>
      <c r="M40">
        <v>2</v>
      </c>
      <c r="N40">
        <f t="shared" si="0"/>
        <v>11</v>
      </c>
      <c r="O40" s="6">
        <f t="shared" si="2"/>
        <v>0.81818181818181823</v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 x14ac:dyDescent="0.4">
      <c r="A41">
        <v>37</v>
      </c>
      <c r="B41" t="s">
        <v>219</v>
      </c>
      <c r="C41" t="s">
        <v>224</v>
      </c>
      <c r="D41" t="s">
        <v>223</v>
      </c>
      <c r="E41" s="5"/>
      <c r="I41" t="s">
        <v>161</v>
      </c>
      <c r="J41" t="s">
        <v>213</v>
      </c>
      <c r="L41">
        <v>11</v>
      </c>
      <c r="M41">
        <v>2</v>
      </c>
      <c r="N41">
        <f t="shared" si="0"/>
        <v>13</v>
      </c>
      <c r="O41" s="6">
        <f t="shared" si="2"/>
        <v>0.84615384615384615</v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 x14ac:dyDescent="0.4">
      <c r="A42">
        <v>38</v>
      </c>
      <c r="B42" t="s">
        <v>225</v>
      </c>
      <c r="C42" t="s">
        <v>226</v>
      </c>
      <c r="D42" t="s">
        <v>227</v>
      </c>
      <c r="E42" s="5"/>
      <c r="I42" t="s">
        <v>161</v>
      </c>
      <c r="J42" t="s">
        <v>213</v>
      </c>
      <c r="L42">
        <v>14</v>
      </c>
      <c r="N42">
        <f t="shared" si="0"/>
        <v>14</v>
      </c>
      <c r="O42" s="6">
        <f t="shared" si="2"/>
        <v>1</v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 x14ac:dyDescent="0.4">
      <c r="A43">
        <v>39</v>
      </c>
      <c r="B43" t="s">
        <v>225</v>
      </c>
      <c r="C43" t="s">
        <v>228</v>
      </c>
      <c r="D43" t="s">
        <v>229</v>
      </c>
      <c r="E43" s="5"/>
      <c r="I43" t="s">
        <v>161</v>
      </c>
      <c r="J43" t="s">
        <v>213</v>
      </c>
      <c r="L43">
        <v>11</v>
      </c>
      <c r="M43">
        <v>1</v>
      </c>
      <c r="N43">
        <f t="shared" si="0"/>
        <v>12</v>
      </c>
      <c r="O43" s="6">
        <f t="shared" si="2"/>
        <v>0.91666666666666663</v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 x14ac:dyDescent="0.4">
      <c r="A44">
        <v>40</v>
      </c>
      <c r="B44" t="s">
        <v>225</v>
      </c>
      <c r="C44" t="s">
        <v>230</v>
      </c>
      <c r="D44" t="s">
        <v>231</v>
      </c>
      <c r="E44" s="5"/>
      <c r="I44" t="s">
        <v>161</v>
      </c>
      <c r="J44" t="s">
        <v>213</v>
      </c>
      <c r="L44">
        <v>12</v>
      </c>
      <c r="M44">
        <v>2</v>
      </c>
      <c r="N44">
        <f t="shared" si="0"/>
        <v>14</v>
      </c>
      <c r="O44" s="6">
        <f t="shared" si="2"/>
        <v>0.8571428571428571</v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 x14ac:dyDescent="0.4">
      <c r="A45">
        <v>41</v>
      </c>
      <c r="B45" t="s">
        <v>225</v>
      </c>
      <c r="C45" t="s">
        <v>232</v>
      </c>
      <c r="D45" t="s">
        <v>233</v>
      </c>
      <c r="E45" s="5"/>
      <c r="I45" t="s">
        <v>161</v>
      </c>
      <c r="J45" t="s">
        <v>213</v>
      </c>
      <c r="L45">
        <v>15</v>
      </c>
      <c r="N45">
        <f t="shared" si="0"/>
        <v>15</v>
      </c>
      <c r="O45" s="6">
        <f t="shared" si="2"/>
        <v>1</v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 x14ac:dyDescent="0.4">
      <c r="A46">
        <v>42</v>
      </c>
      <c r="B46" t="s">
        <v>244</v>
      </c>
      <c r="C46" t="s">
        <v>245</v>
      </c>
      <c r="D46" t="s">
        <v>246</v>
      </c>
      <c r="E46" s="5"/>
      <c r="I46" t="s">
        <v>161</v>
      </c>
      <c r="J46" t="s">
        <v>250</v>
      </c>
      <c r="L46">
        <v>10</v>
      </c>
      <c r="N46">
        <f t="shared" si="0"/>
        <v>10</v>
      </c>
      <c r="O46" s="6">
        <f t="shared" si="2"/>
        <v>1</v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 x14ac:dyDescent="0.4">
      <c r="A47">
        <v>43</v>
      </c>
      <c r="B47" t="s">
        <v>247</v>
      </c>
      <c r="C47" t="s">
        <v>248</v>
      </c>
      <c r="D47" t="s">
        <v>249</v>
      </c>
      <c r="E47" s="5"/>
      <c r="I47" t="s">
        <v>161</v>
      </c>
      <c r="J47" t="s">
        <v>250</v>
      </c>
      <c r="L47">
        <v>9</v>
      </c>
      <c r="M47">
        <v>4</v>
      </c>
      <c r="N47">
        <f t="shared" si="0"/>
        <v>13</v>
      </c>
      <c r="O47" s="6">
        <f t="shared" si="2"/>
        <v>0.69230769230769229</v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 x14ac:dyDescent="0.4">
      <c r="A48">
        <v>44</v>
      </c>
      <c r="B48" t="s">
        <v>253</v>
      </c>
      <c r="C48" t="s">
        <v>251</v>
      </c>
      <c r="D48" t="s">
        <v>252</v>
      </c>
      <c r="E48" s="5"/>
      <c r="I48" t="s">
        <v>161</v>
      </c>
      <c r="J48" t="s">
        <v>250</v>
      </c>
      <c r="L48">
        <v>10</v>
      </c>
      <c r="M48">
        <v>1</v>
      </c>
      <c r="N48">
        <f t="shared" si="0"/>
        <v>11</v>
      </c>
      <c r="O48" s="6">
        <f t="shared" si="2"/>
        <v>0.90909090909090906</v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 x14ac:dyDescent="0.4">
      <c r="A49">
        <v>45</v>
      </c>
      <c r="B49" t="s">
        <v>244</v>
      </c>
      <c r="C49" t="s">
        <v>254</v>
      </c>
      <c r="D49" t="s">
        <v>246</v>
      </c>
      <c r="E49" s="5"/>
      <c r="I49" t="s">
        <v>161</v>
      </c>
      <c r="J49" t="s">
        <v>250</v>
      </c>
      <c r="L49">
        <v>11</v>
      </c>
      <c r="N49">
        <f t="shared" si="0"/>
        <v>11</v>
      </c>
      <c r="O49" s="6">
        <f t="shared" si="2"/>
        <v>1</v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 x14ac:dyDescent="0.4">
      <c r="A50">
        <v>46</v>
      </c>
      <c r="B50" t="s">
        <v>247</v>
      </c>
      <c r="C50" t="s">
        <v>255</v>
      </c>
      <c r="D50" t="s">
        <v>256</v>
      </c>
      <c r="E50" s="5"/>
      <c r="I50" t="s">
        <v>161</v>
      </c>
      <c r="J50" t="s">
        <v>250</v>
      </c>
      <c r="L50">
        <v>9</v>
      </c>
      <c r="M50">
        <v>3</v>
      </c>
      <c r="N50">
        <f t="shared" si="0"/>
        <v>12</v>
      </c>
      <c r="O50" s="6">
        <f t="shared" si="2"/>
        <v>0.75</v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 x14ac:dyDescent="0.4">
      <c r="A51">
        <v>47</v>
      </c>
      <c r="B51" t="s">
        <v>244</v>
      </c>
      <c r="C51" t="s">
        <v>257</v>
      </c>
      <c r="D51" t="s">
        <v>259</v>
      </c>
      <c r="E51" s="5"/>
      <c r="I51" t="s">
        <v>161</v>
      </c>
      <c r="J51" t="s">
        <v>250</v>
      </c>
      <c r="L51">
        <v>10</v>
      </c>
      <c r="N51">
        <f t="shared" si="0"/>
        <v>10</v>
      </c>
      <c r="O51" s="6">
        <f t="shared" si="2"/>
        <v>1</v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 x14ac:dyDescent="0.4">
      <c r="A52">
        <v>48</v>
      </c>
      <c r="B52" t="s">
        <v>247</v>
      </c>
      <c r="C52" t="s">
        <v>260</v>
      </c>
      <c r="D52" t="s">
        <v>258</v>
      </c>
      <c r="E52" s="5"/>
      <c r="I52" t="s">
        <v>161</v>
      </c>
      <c r="J52" t="s">
        <v>250</v>
      </c>
      <c r="L52">
        <v>10</v>
      </c>
      <c r="N52">
        <f t="shared" si="0"/>
        <v>10</v>
      </c>
      <c r="O52" s="6">
        <f t="shared" si="2"/>
        <v>1</v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 x14ac:dyDescent="0.4">
      <c r="A53">
        <v>49</v>
      </c>
      <c r="B53" t="s">
        <v>253</v>
      </c>
      <c r="C53" t="s">
        <v>261</v>
      </c>
      <c r="D53" t="s">
        <v>262</v>
      </c>
      <c r="E53" s="5"/>
      <c r="I53" t="s">
        <v>161</v>
      </c>
      <c r="J53" t="s">
        <v>250</v>
      </c>
      <c r="L53">
        <v>11</v>
      </c>
      <c r="M53">
        <v>1</v>
      </c>
      <c r="N53">
        <f t="shared" si="0"/>
        <v>12</v>
      </c>
      <c r="O53" s="6">
        <f t="shared" si="2"/>
        <v>0.91666666666666663</v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 x14ac:dyDescent="0.4">
      <c r="A54">
        <v>50</v>
      </c>
      <c r="B54" t="s">
        <v>253</v>
      </c>
      <c r="C54" t="s">
        <v>263</v>
      </c>
      <c r="D54" t="s">
        <v>264</v>
      </c>
      <c r="E54" s="5"/>
      <c r="I54" t="s">
        <v>161</v>
      </c>
      <c r="J54" t="s">
        <v>250</v>
      </c>
      <c r="L54">
        <v>10</v>
      </c>
      <c r="M54">
        <v>2</v>
      </c>
      <c r="N54">
        <f t="shared" si="0"/>
        <v>12</v>
      </c>
      <c r="O54" s="6">
        <f t="shared" si="2"/>
        <v>0.83333333333333337</v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 x14ac:dyDescent="0.4">
      <c r="A55">
        <v>51</v>
      </c>
      <c r="B55" t="s">
        <v>253</v>
      </c>
      <c r="C55" t="s">
        <v>265</v>
      </c>
      <c r="D55" t="s">
        <v>270</v>
      </c>
      <c r="E55" s="5"/>
      <c r="I55" t="s">
        <v>161</v>
      </c>
      <c r="J55" t="s">
        <v>250</v>
      </c>
      <c r="L55">
        <v>10</v>
      </c>
      <c r="M55">
        <v>2</v>
      </c>
      <c r="N55">
        <f t="shared" si="0"/>
        <v>12</v>
      </c>
      <c r="O55" s="6">
        <f t="shared" si="2"/>
        <v>0.83333333333333337</v>
      </c>
      <c r="P55">
        <v>71.315704345703125</v>
      </c>
      <c r="S55">
        <v>51</v>
      </c>
    </row>
    <row r="56" spans="1:22" x14ac:dyDescent="0.4">
      <c r="A56">
        <v>52</v>
      </c>
      <c r="B56" t="s">
        <v>247</v>
      </c>
      <c r="C56" t="s">
        <v>266</v>
      </c>
      <c r="D56" t="s">
        <v>267</v>
      </c>
      <c r="E56" s="5"/>
      <c r="I56" t="s">
        <v>161</v>
      </c>
      <c r="J56" t="s">
        <v>250</v>
      </c>
      <c r="L56">
        <v>11</v>
      </c>
      <c r="M56">
        <v>2</v>
      </c>
      <c r="N56">
        <f t="shared" si="0"/>
        <v>13</v>
      </c>
      <c r="O56" s="6">
        <f t="shared" si="2"/>
        <v>0.84615384615384615</v>
      </c>
      <c r="P56">
        <v>122.39285278320312</v>
      </c>
      <c r="S56">
        <v>52</v>
      </c>
    </row>
    <row r="57" spans="1:22" x14ac:dyDescent="0.4">
      <c r="A57">
        <v>53</v>
      </c>
      <c r="B57" t="s">
        <v>247</v>
      </c>
      <c r="C57" t="s">
        <v>268</v>
      </c>
      <c r="D57" t="s">
        <v>269</v>
      </c>
      <c r="E57" s="5"/>
      <c r="I57" t="s">
        <v>161</v>
      </c>
      <c r="J57" t="s">
        <v>250</v>
      </c>
      <c r="L57">
        <v>9</v>
      </c>
      <c r="N57">
        <f t="shared" si="0"/>
        <v>9</v>
      </c>
      <c r="O57" s="6">
        <f t="shared" si="2"/>
        <v>1</v>
      </c>
      <c r="P57">
        <v>90.881240844726563</v>
      </c>
      <c r="S57">
        <v>53</v>
      </c>
    </row>
    <row r="58" spans="1:22" x14ac:dyDescent="0.4">
      <c r="A58">
        <v>54</v>
      </c>
      <c r="B58" t="s">
        <v>244</v>
      </c>
      <c r="C58" t="s">
        <v>272</v>
      </c>
      <c r="D58" t="s">
        <v>273</v>
      </c>
      <c r="E58" s="5"/>
      <c r="I58" t="s">
        <v>161</v>
      </c>
      <c r="J58" t="s">
        <v>276</v>
      </c>
      <c r="L58">
        <v>9</v>
      </c>
      <c r="N58">
        <f t="shared" si="0"/>
        <v>9</v>
      </c>
      <c r="O58" s="6">
        <f t="shared" si="2"/>
        <v>1</v>
      </c>
      <c r="P58">
        <v>63.768272399902344</v>
      </c>
      <c r="S58">
        <v>54</v>
      </c>
    </row>
    <row r="59" spans="1:22" x14ac:dyDescent="0.4">
      <c r="A59">
        <v>55</v>
      </c>
      <c r="B59" t="s">
        <v>247</v>
      </c>
      <c r="C59" t="s">
        <v>274</v>
      </c>
      <c r="D59" t="s">
        <v>275</v>
      </c>
      <c r="E59" s="5"/>
      <c r="I59" t="s">
        <v>161</v>
      </c>
      <c r="J59" t="s">
        <v>276</v>
      </c>
      <c r="L59">
        <v>8</v>
      </c>
      <c r="M59">
        <v>1</v>
      </c>
      <c r="N59">
        <f t="shared" si="0"/>
        <v>9</v>
      </c>
      <c r="O59" s="6">
        <f t="shared" si="2"/>
        <v>0.88888888888888884</v>
      </c>
      <c r="P59">
        <v>90.789215087890625</v>
      </c>
      <c r="S59">
        <v>55</v>
      </c>
    </row>
    <row r="60" spans="1:22" x14ac:dyDescent="0.4">
      <c r="A60">
        <v>56</v>
      </c>
      <c r="B60" t="s">
        <v>244</v>
      </c>
      <c r="C60" t="s">
        <v>277</v>
      </c>
      <c r="D60" t="s">
        <v>273</v>
      </c>
      <c r="E60" s="5"/>
      <c r="I60" t="s">
        <v>161</v>
      </c>
      <c r="J60" t="s">
        <v>276</v>
      </c>
      <c r="L60">
        <v>9</v>
      </c>
      <c r="N60">
        <f t="shared" si="0"/>
        <v>9</v>
      </c>
      <c r="O60" s="6">
        <f t="shared" si="2"/>
        <v>1</v>
      </c>
      <c r="P60">
        <v>104.42417907714844</v>
      </c>
      <c r="S60">
        <v>56</v>
      </c>
    </row>
    <row r="61" spans="1:22" x14ac:dyDescent="0.4">
      <c r="A61">
        <v>57</v>
      </c>
      <c r="B61" t="s">
        <v>247</v>
      </c>
      <c r="C61" t="s">
        <v>278</v>
      </c>
      <c r="D61" t="s">
        <v>279</v>
      </c>
      <c r="E61" s="5"/>
      <c r="I61" t="s">
        <v>161</v>
      </c>
      <c r="J61" t="s">
        <v>276</v>
      </c>
      <c r="L61">
        <v>8</v>
      </c>
      <c r="M61">
        <v>1</v>
      </c>
      <c r="N61">
        <f t="shared" si="0"/>
        <v>9</v>
      </c>
      <c r="O61" s="6">
        <f t="shared" si="2"/>
        <v>0.88888888888888884</v>
      </c>
      <c r="P61">
        <v>76.130661010742188</v>
      </c>
      <c r="S61">
        <v>57</v>
      </c>
    </row>
    <row r="62" spans="1:22" x14ac:dyDescent="0.4">
      <c r="A62">
        <v>58</v>
      </c>
      <c r="B62" t="s">
        <v>253</v>
      </c>
      <c r="C62" t="s">
        <v>281</v>
      </c>
      <c r="D62" t="s">
        <v>280</v>
      </c>
      <c r="E62" s="5"/>
      <c r="I62" t="s">
        <v>161</v>
      </c>
      <c r="J62" t="s">
        <v>276</v>
      </c>
      <c r="L62">
        <v>8</v>
      </c>
      <c r="M62">
        <v>2</v>
      </c>
      <c r="N62">
        <f t="shared" si="0"/>
        <v>10</v>
      </c>
      <c r="O62" s="6">
        <f t="shared" si="2"/>
        <v>0.8</v>
      </c>
      <c r="P62">
        <v>53.323745727539063</v>
      </c>
      <c r="S62">
        <v>58</v>
      </c>
    </row>
    <row r="63" spans="1:22" x14ac:dyDescent="0.4">
      <c r="A63">
        <v>59</v>
      </c>
      <c r="B63" t="s">
        <v>244</v>
      </c>
      <c r="C63" t="s">
        <v>282</v>
      </c>
      <c r="D63" t="s">
        <v>273</v>
      </c>
      <c r="E63" s="5"/>
      <c r="I63" t="s">
        <v>161</v>
      </c>
      <c r="J63" t="s">
        <v>276</v>
      </c>
      <c r="L63">
        <v>9</v>
      </c>
      <c r="N63">
        <f t="shared" si="0"/>
        <v>9</v>
      </c>
      <c r="O63" s="6">
        <f t="shared" si="2"/>
        <v>1</v>
      </c>
      <c r="P63">
        <v>38.363571166992188</v>
      </c>
      <c r="S63">
        <v>59</v>
      </c>
    </row>
    <row r="64" spans="1:22" x14ac:dyDescent="0.4">
      <c r="A64">
        <v>60</v>
      </c>
      <c r="B64" t="s">
        <v>247</v>
      </c>
      <c r="C64" t="s">
        <v>283</v>
      </c>
      <c r="D64" t="s">
        <v>284</v>
      </c>
      <c r="E64" s="5"/>
      <c r="I64" t="s">
        <v>161</v>
      </c>
      <c r="J64" t="s">
        <v>276</v>
      </c>
      <c r="L64">
        <v>9</v>
      </c>
      <c r="N64">
        <f t="shared" si="0"/>
        <v>9</v>
      </c>
      <c r="O64" s="6">
        <f t="shared" si="2"/>
        <v>1</v>
      </c>
      <c r="P64">
        <v>126.18891906738281</v>
      </c>
      <c r="S64">
        <v>60</v>
      </c>
    </row>
    <row r="65" spans="1:19" x14ac:dyDescent="0.4">
      <c r="A65">
        <v>61</v>
      </c>
      <c r="B65" t="s">
        <v>253</v>
      </c>
      <c r="C65" t="s">
        <v>285</v>
      </c>
      <c r="D65" t="s">
        <v>286</v>
      </c>
      <c r="E65" s="5"/>
      <c r="I65" t="s">
        <v>161</v>
      </c>
      <c r="J65" t="s">
        <v>276</v>
      </c>
      <c r="L65">
        <v>11</v>
      </c>
      <c r="M65">
        <v>4</v>
      </c>
      <c r="N65">
        <f t="shared" si="0"/>
        <v>15</v>
      </c>
      <c r="O65" s="6">
        <f t="shared" si="2"/>
        <v>0.73333333333333328</v>
      </c>
      <c r="P65">
        <v>77.706619262695313</v>
      </c>
      <c r="S65">
        <v>61</v>
      </c>
    </row>
    <row r="66" spans="1:19" x14ac:dyDescent="0.4">
      <c r="A66">
        <v>62</v>
      </c>
      <c r="B66" t="s">
        <v>247</v>
      </c>
      <c r="C66" t="s">
        <v>287</v>
      </c>
      <c r="D66" t="s">
        <v>288</v>
      </c>
      <c r="E66" s="5"/>
      <c r="I66" t="s">
        <v>161</v>
      </c>
      <c r="J66" t="s">
        <v>276</v>
      </c>
      <c r="L66">
        <v>9</v>
      </c>
      <c r="N66">
        <f t="shared" si="0"/>
        <v>9</v>
      </c>
      <c r="O66" s="6">
        <f t="shared" si="2"/>
        <v>1</v>
      </c>
      <c r="P66">
        <v>82.95220947265625</v>
      </c>
      <c r="S66">
        <v>62</v>
      </c>
    </row>
    <row r="67" spans="1:19" x14ac:dyDescent="0.4">
      <c r="A67">
        <v>63</v>
      </c>
      <c r="B67" t="s">
        <v>247</v>
      </c>
      <c r="C67" t="s">
        <v>289</v>
      </c>
      <c r="D67" t="s">
        <v>290</v>
      </c>
      <c r="E67" s="5"/>
      <c r="I67" t="s">
        <v>161</v>
      </c>
      <c r="J67" t="s">
        <v>276</v>
      </c>
      <c r="L67">
        <v>9</v>
      </c>
      <c r="M67">
        <v>1</v>
      </c>
      <c r="N67">
        <f t="shared" si="0"/>
        <v>10</v>
      </c>
      <c r="O67" s="6">
        <f t="shared" si="2"/>
        <v>0.9</v>
      </c>
      <c r="P67">
        <v>37.274688720703125</v>
      </c>
      <c r="S67">
        <v>63</v>
      </c>
    </row>
    <row r="68" spans="1:19" x14ac:dyDescent="0.4">
      <c r="A68">
        <v>64</v>
      </c>
      <c r="B68" t="s">
        <v>247</v>
      </c>
      <c r="C68" t="s">
        <v>291</v>
      </c>
      <c r="D68" t="s">
        <v>292</v>
      </c>
      <c r="E68" s="5"/>
      <c r="I68" t="s">
        <v>161</v>
      </c>
      <c r="J68" t="s">
        <v>276</v>
      </c>
      <c r="L68">
        <v>9</v>
      </c>
      <c r="M68">
        <v>1</v>
      </c>
      <c r="N68">
        <f t="shared" si="0"/>
        <v>10</v>
      </c>
      <c r="O68" s="6">
        <f t="shared" si="2"/>
        <v>0.9</v>
      </c>
      <c r="P68">
        <v>75.523513793945313</v>
      </c>
      <c r="S68">
        <v>64</v>
      </c>
    </row>
    <row r="69" spans="1:19" x14ac:dyDescent="0.4">
      <c r="A69">
        <v>65</v>
      </c>
      <c r="B69" t="s">
        <v>253</v>
      </c>
      <c r="C69" t="s">
        <v>294</v>
      </c>
      <c r="D69" t="s">
        <v>293</v>
      </c>
      <c r="E69" s="5"/>
      <c r="I69" t="s">
        <v>161</v>
      </c>
      <c r="J69" t="s">
        <v>276</v>
      </c>
      <c r="L69">
        <v>10</v>
      </c>
      <c r="M69">
        <v>2</v>
      </c>
      <c r="N69">
        <f t="shared" ref="N69:N132" si="3">IFERROR(IF(L69+M69=0,"",L69+M69),"")</f>
        <v>12</v>
      </c>
      <c r="O69" s="6">
        <f t="shared" ref="O69:O100" si="4">IFERROR(L69/(M69+L69),"")</f>
        <v>0.83333333333333337</v>
      </c>
      <c r="P69">
        <v>109.27604675292969</v>
      </c>
      <c r="S69">
        <v>65</v>
      </c>
    </row>
    <row r="70" spans="1:19" x14ac:dyDescent="0.4">
      <c r="A70">
        <v>66</v>
      </c>
      <c r="B70" t="s">
        <v>253</v>
      </c>
      <c r="C70" t="s">
        <v>297</v>
      </c>
      <c r="D70" t="s">
        <v>298</v>
      </c>
      <c r="E70" s="5"/>
      <c r="I70" t="s">
        <v>161</v>
      </c>
      <c r="J70" t="s">
        <v>276</v>
      </c>
      <c r="L70">
        <v>12</v>
      </c>
      <c r="M70">
        <v>4</v>
      </c>
      <c r="N70">
        <f t="shared" si="3"/>
        <v>16</v>
      </c>
      <c r="O70" s="6">
        <f t="shared" si="4"/>
        <v>0.75</v>
      </c>
      <c r="P70">
        <v>68.765701293945313</v>
      </c>
      <c r="S70">
        <v>66</v>
      </c>
    </row>
    <row r="71" spans="1:19" x14ac:dyDescent="0.4">
      <c r="A71">
        <v>67</v>
      </c>
      <c r="B71" t="s">
        <v>253</v>
      </c>
      <c r="C71" t="s">
        <v>295</v>
      </c>
      <c r="D71" t="s">
        <v>296</v>
      </c>
      <c r="E71" s="5"/>
      <c r="I71" t="s">
        <v>161</v>
      </c>
      <c r="J71" t="s">
        <v>276</v>
      </c>
      <c r="L71">
        <v>8</v>
      </c>
      <c r="N71">
        <f t="shared" si="3"/>
        <v>8</v>
      </c>
      <c r="O71" s="6">
        <f t="shared" si="4"/>
        <v>1</v>
      </c>
      <c r="P71">
        <v>48.228851318359375</v>
      </c>
      <c r="S71">
        <v>67</v>
      </c>
    </row>
    <row r="72" spans="1:19" x14ac:dyDescent="0.4">
      <c r="A72">
        <v>68</v>
      </c>
      <c r="B72" t="s">
        <v>299</v>
      </c>
      <c r="C72" t="s">
        <v>312</v>
      </c>
      <c r="D72" t="s">
        <v>311</v>
      </c>
      <c r="E72" s="5"/>
      <c r="I72" t="s">
        <v>161</v>
      </c>
      <c r="J72" t="s">
        <v>300</v>
      </c>
      <c r="L72">
        <v>8</v>
      </c>
      <c r="M72">
        <v>2</v>
      </c>
      <c r="N72">
        <f t="shared" si="3"/>
        <v>10</v>
      </c>
      <c r="O72" s="6">
        <f t="shared" si="4"/>
        <v>0.8</v>
      </c>
      <c r="P72">
        <v>47.903152465820313</v>
      </c>
      <c r="S72">
        <v>68</v>
      </c>
    </row>
    <row r="73" spans="1:19" x14ac:dyDescent="0.4">
      <c r="A73">
        <v>69</v>
      </c>
      <c r="B73" t="s">
        <v>301</v>
      </c>
      <c r="C73" t="s">
        <v>302</v>
      </c>
      <c r="D73" t="s">
        <v>303</v>
      </c>
      <c r="E73" s="5"/>
      <c r="I73" t="s">
        <v>161</v>
      </c>
      <c r="J73" t="s">
        <v>300</v>
      </c>
      <c r="L73">
        <v>8</v>
      </c>
      <c r="M73">
        <v>1</v>
      </c>
      <c r="N73">
        <f t="shared" si="3"/>
        <v>9</v>
      </c>
      <c r="O73" s="6">
        <f t="shared" si="4"/>
        <v>0.88888888888888884</v>
      </c>
      <c r="P73">
        <v>81.426986694335938</v>
      </c>
      <c r="S73">
        <v>69</v>
      </c>
    </row>
    <row r="74" spans="1:19" x14ac:dyDescent="0.4">
      <c r="A74">
        <v>70</v>
      </c>
      <c r="B74" t="s">
        <v>304</v>
      </c>
      <c r="C74" t="s">
        <v>306</v>
      </c>
      <c r="D74" t="s">
        <v>305</v>
      </c>
      <c r="E74" s="5"/>
      <c r="I74" t="s">
        <v>161</v>
      </c>
      <c r="J74" t="s">
        <v>300</v>
      </c>
      <c r="L74">
        <v>7</v>
      </c>
      <c r="M74">
        <v>4</v>
      </c>
      <c r="N74">
        <f t="shared" si="3"/>
        <v>11</v>
      </c>
      <c r="O74" s="6">
        <f t="shared" si="4"/>
        <v>0.63636363636363635</v>
      </c>
      <c r="P74">
        <v>64.411178588867187</v>
      </c>
      <c r="S74">
        <v>70</v>
      </c>
    </row>
    <row r="75" spans="1:19" x14ac:dyDescent="0.4">
      <c r="A75">
        <v>71</v>
      </c>
      <c r="B75" t="s">
        <v>301</v>
      </c>
      <c r="C75" t="s">
        <v>307</v>
      </c>
      <c r="D75" t="s">
        <v>308</v>
      </c>
      <c r="E75" s="5"/>
      <c r="I75" t="s">
        <v>161</v>
      </c>
      <c r="J75" t="s">
        <v>300</v>
      </c>
      <c r="L75">
        <v>10</v>
      </c>
      <c r="M75">
        <v>3</v>
      </c>
      <c r="N75">
        <f t="shared" si="3"/>
        <v>13</v>
      </c>
      <c r="O75" s="6">
        <f t="shared" si="4"/>
        <v>0.76923076923076927</v>
      </c>
      <c r="P75">
        <v>84.8056640625</v>
      </c>
      <c r="S75">
        <v>71</v>
      </c>
    </row>
    <row r="76" spans="1:19" x14ac:dyDescent="0.4">
      <c r="A76">
        <v>72</v>
      </c>
      <c r="B76" t="s">
        <v>310</v>
      </c>
      <c r="C76" t="s">
        <v>361</v>
      </c>
      <c r="D76" t="s">
        <v>360</v>
      </c>
      <c r="E76" s="5"/>
      <c r="I76" t="s">
        <v>161</v>
      </c>
      <c r="J76" t="s">
        <v>300</v>
      </c>
      <c r="L76">
        <v>8</v>
      </c>
      <c r="M76">
        <v>3</v>
      </c>
      <c r="N76">
        <f t="shared" si="3"/>
        <v>11</v>
      </c>
      <c r="O76" s="6">
        <f t="shared" si="4"/>
        <v>0.72727272727272729</v>
      </c>
      <c r="P76">
        <v>67.761215209960938</v>
      </c>
      <c r="S76">
        <v>72</v>
      </c>
    </row>
    <row r="77" spans="1:19" x14ac:dyDescent="0.4">
      <c r="A77">
        <v>73</v>
      </c>
      <c r="B77" t="s">
        <v>309</v>
      </c>
      <c r="C77" t="s">
        <v>314</v>
      </c>
      <c r="D77" t="s">
        <v>313</v>
      </c>
      <c r="E77" s="5"/>
      <c r="I77" t="s">
        <v>161</v>
      </c>
      <c r="J77" t="s">
        <v>300</v>
      </c>
      <c r="L77">
        <v>8</v>
      </c>
      <c r="M77">
        <v>4</v>
      </c>
      <c r="N77">
        <f t="shared" si="3"/>
        <v>12</v>
      </c>
      <c r="O77" s="6">
        <f t="shared" si="4"/>
        <v>0.66666666666666663</v>
      </c>
      <c r="P77">
        <v>55.019012451171875</v>
      </c>
      <c r="S77">
        <v>73</v>
      </c>
    </row>
    <row r="78" spans="1:19" x14ac:dyDescent="0.4">
      <c r="A78">
        <v>74</v>
      </c>
      <c r="B78" t="s">
        <v>309</v>
      </c>
      <c r="C78" t="s">
        <v>315</v>
      </c>
      <c r="D78" t="s">
        <v>316</v>
      </c>
      <c r="E78" s="5"/>
      <c r="I78" t="s">
        <v>161</v>
      </c>
      <c r="J78" t="s">
        <v>300</v>
      </c>
      <c r="L78">
        <v>8</v>
      </c>
      <c r="N78">
        <f t="shared" si="3"/>
        <v>8</v>
      </c>
      <c r="O78" s="6">
        <f t="shared" si="4"/>
        <v>1</v>
      </c>
      <c r="P78">
        <v>49.716873168945313</v>
      </c>
      <c r="S78">
        <v>74</v>
      </c>
    </row>
    <row r="79" spans="1:19" x14ac:dyDescent="0.4">
      <c r="A79">
        <v>75</v>
      </c>
      <c r="B79" t="s">
        <v>309</v>
      </c>
      <c r="C79" t="s">
        <v>317</v>
      </c>
      <c r="D79" t="s">
        <v>318</v>
      </c>
      <c r="E79" s="5"/>
      <c r="I79" t="s">
        <v>161</v>
      </c>
      <c r="J79" t="s">
        <v>300</v>
      </c>
      <c r="L79">
        <v>9</v>
      </c>
      <c r="M79">
        <v>1</v>
      </c>
      <c r="N79">
        <f t="shared" si="3"/>
        <v>10</v>
      </c>
      <c r="O79" s="6">
        <f t="shared" si="4"/>
        <v>0.9</v>
      </c>
      <c r="P79">
        <v>34.708236694335938</v>
      </c>
      <c r="S79">
        <v>75</v>
      </c>
    </row>
    <row r="80" spans="1:19" x14ac:dyDescent="0.4">
      <c r="A80">
        <v>76</v>
      </c>
      <c r="B80" t="s">
        <v>309</v>
      </c>
      <c r="C80" t="s">
        <v>319</v>
      </c>
      <c r="D80" t="s">
        <v>320</v>
      </c>
      <c r="E80" s="5"/>
      <c r="I80" t="s">
        <v>161</v>
      </c>
      <c r="J80" t="s">
        <v>300</v>
      </c>
      <c r="L80">
        <v>10</v>
      </c>
      <c r="M80">
        <v>2</v>
      </c>
      <c r="N80">
        <f t="shared" si="3"/>
        <v>12</v>
      </c>
      <c r="O80" s="6">
        <f t="shared" si="4"/>
        <v>0.83333333333333337</v>
      </c>
      <c r="P80">
        <v>45.437057495117187</v>
      </c>
      <c r="S80">
        <v>76</v>
      </c>
    </row>
    <row r="81" spans="1:19" x14ac:dyDescent="0.4">
      <c r="A81">
        <v>77</v>
      </c>
      <c r="B81" t="s">
        <v>309</v>
      </c>
      <c r="C81" t="s">
        <v>321</v>
      </c>
      <c r="D81" t="s">
        <v>322</v>
      </c>
      <c r="E81" s="5"/>
      <c r="I81" t="s">
        <v>161</v>
      </c>
      <c r="J81" t="s">
        <v>300</v>
      </c>
      <c r="L81">
        <v>10</v>
      </c>
      <c r="M81">
        <v>5</v>
      </c>
      <c r="N81">
        <f t="shared" si="3"/>
        <v>15</v>
      </c>
      <c r="O81" s="6">
        <f t="shared" si="4"/>
        <v>0.66666666666666663</v>
      </c>
      <c r="P81">
        <v>99.811508178710938</v>
      </c>
      <c r="S81">
        <v>77</v>
      </c>
    </row>
    <row r="82" spans="1:19" x14ac:dyDescent="0.4">
      <c r="A82">
        <v>78</v>
      </c>
      <c r="B82" t="s">
        <v>309</v>
      </c>
      <c r="C82" t="s">
        <v>323</v>
      </c>
      <c r="D82" t="s">
        <v>324</v>
      </c>
      <c r="E82" s="5"/>
      <c r="I82" t="s">
        <v>161</v>
      </c>
      <c r="J82" t="s">
        <v>300</v>
      </c>
      <c r="L82">
        <v>9</v>
      </c>
      <c r="N82">
        <f t="shared" si="3"/>
        <v>9</v>
      </c>
      <c r="O82" s="6">
        <f t="shared" si="4"/>
        <v>1</v>
      </c>
      <c r="P82">
        <v>22.803359985351563</v>
      </c>
      <c r="S82">
        <v>78</v>
      </c>
    </row>
    <row r="83" spans="1:19" x14ac:dyDescent="0.4">
      <c r="A83">
        <v>79</v>
      </c>
      <c r="B83" t="s">
        <v>310</v>
      </c>
      <c r="C83" t="s">
        <v>325</v>
      </c>
      <c r="D83" t="s">
        <v>326</v>
      </c>
      <c r="E83" s="5"/>
      <c r="I83" t="s">
        <v>161</v>
      </c>
      <c r="J83" t="s">
        <v>300</v>
      </c>
      <c r="L83">
        <v>8</v>
      </c>
      <c r="M83">
        <v>2</v>
      </c>
      <c r="N83">
        <f t="shared" si="3"/>
        <v>10</v>
      </c>
      <c r="O83" s="6">
        <f t="shared" si="4"/>
        <v>0.8</v>
      </c>
      <c r="P83">
        <v>23.5653076171875</v>
      </c>
      <c r="S83">
        <v>79</v>
      </c>
    </row>
    <row r="84" spans="1:19" x14ac:dyDescent="0.4">
      <c r="A84">
        <v>80</v>
      </c>
      <c r="B84" t="s">
        <v>327</v>
      </c>
      <c r="C84" t="s">
        <v>328</v>
      </c>
      <c r="D84" t="s">
        <v>329</v>
      </c>
      <c r="E84" s="5"/>
      <c r="I84" t="s">
        <v>161</v>
      </c>
      <c r="J84" t="s">
        <v>359</v>
      </c>
      <c r="L84">
        <v>8</v>
      </c>
      <c r="M84">
        <v>1</v>
      </c>
      <c r="N84">
        <f t="shared" si="3"/>
        <v>9</v>
      </c>
      <c r="O84" s="6">
        <f t="shared" si="4"/>
        <v>0.88888888888888884</v>
      </c>
      <c r="P84">
        <v>56.83306884765625</v>
      </c>
      <c r="S84">
        <v>80</v>
      </c>
    </row>
    <row r="85" spans="1:19" x14ac:dyDescent="0.4">
      <c r="A85">
        <v>81</v>
      </c>
      <c r="B85" t="s">
        <v>332</v>
      </c>
      <c r="C85" t="s">
        <v>333</v>
      </c>
      <c r="D85" t="s">
        <v>334</v>
      </c>
      <c r="E85" s="5"/>
      <c r="I85" t="s">
        <v>161</v>
      </c>
      <c r="J85" t="s">
        <v>359</v>
      </c>
      <c r="L85">
        <v>8</v>
      </c>
      <c r="N85">
        <f t="shared" si="3"/>
        <v>8</v>
      </c>
      <c r="O85" s="6">
        <f t="shared" si="4"/>
        <v>1</v>
      </c>
      <c r="P85">
        <v>57.448348999023438</v>
      </c>
      <c r="S85">
        <v>81</v>
      </c>
    </row>
    <row r="86" spans="1:19" x14ac:dyDescent="0.4">
      <c r="A86">
        <v>82</v>
      </c>
      <c r="B86" t="s">
        <v>309</v>
      </c>
      <c r="C86" t="s">
        <v>330</v>
      </c>
      <c r="D86" t="s">
        <v>331</v>
      </c>
      <c r="E86" s="5"/>
      <c r="I86" t="s">
        <v>161</v>
      </c>
      <c r="J86" t="s">
        <v>359</v>
      </c>
      <c r="L86">
        <v>9</v>
      </c>
      <c r="M86">
        <v>4</v>
      </c>
      <c r="N86">
        <f t="shared" si="3"/>
        <v>13</v>
      </c>
      <c r="O86" s="6">
        <f t="shared" si="4"/>
        <v>0.69230769230769229</v>
      </c>
      <c r="P86">
        <v>70.331893920898437</v>
      </c>
      <c r="S86">
        <v>82</v>
      </c>
    </row>
    <row r="87" spans="1:19" x14ac:dyDescent="0.4">
      <c r="A87">
        <v>83</v>
      </c>
      <c r="B87" t="s">
        <v>327</v>
      </c>
      <c r="C87" t="s">
        <v>335</v>
      </c>
      <c r="D87" t="s">
        <v>336</v>
      </c>
      <c r="E87" s="5"/>
      <c r="I87" t="s">
        <v>161</v>
      </c>
      <c r="J87" t="s">
        <v>359</v>
      </c>
      <c r="L87">
        <v>9</v>
      </c>
      <c r="N87">
        <f t="shared" si="3"/>
        <v>9</v>
      </c>
      <c r="O87" s="6">
        <f t="shared" si="4"/>
        <v>1</v>
      </c>
      <c r="P87">
        <v>95.318939208984375</v>
      </c>
      <c r="S87">
        <v>83</v>
      </c>
    </row>
    <row r="88" spans="1:19" x14ac:dyDescent="0.4">
      <c r="A88">
        <v>84</v>
      </c>
      <c r="B88" t="s">
        <v>310</v>
      </c>
      <c r="C88" t="s">
        <v>337</v>
      </c>
      <c r="D88" t="s">
        <v>338</v>
      </c>
      <c r="E88" s="5"/>
      <c r="I88" t="s">
        <v>161</v>
      </c>
      <c r="J88" t="s">
        <v>359</v>
      </c>
      <c r="L88">
        <v>11</v>
      </c>
      <c r="M88">
        <v>5</v>
      </c>
      <c r="N88">
        <f t="shared" si="3"/>
        <v>16</v>
      </c>
      <c r="O88" s="6">
        <f t="shared" si="4"/>
        <v>0.6875</v>
      </c>
      <c r="P88">
        <v>53.867111206054688</v>
      </c>
      <c r="S88">
        <v>84</v>
      </c>
    </row>
    <row r="89" spans="1:19" x14ac:dyDescent="0.4">
      <c r="A89">
        <v>85</v>
      </c>
      <c r="B89" t="s">
        <v>309</v>
      </c>
      <c r="C89" t="s">
        <v>339</v>
      </c>
      <c r="D89" t="s">
        <v>340</v>
      </c>
      <c r="E89" s="5"/>
      <c r="I89" t="s">
        <v>161</v>
      </c>
      <c r="J89" t="s">
        <v>359</v>
      </c>
      <c r="L89">
        <v>9</v>
      </c>
      <c r="M89">
        <v>1</v>
      </c>
      <c r="N89">
        <f t="shared" si="3"/>
        <v>10</v>
      </c>
      <c r="O89" s="6">
        <f t="shared" si="4"/>
        <v>0.9</v>
      </c>
      <c r="P89">
        <v>15.866317749023438</v>
      </c>
      <c r="S89">
        <v>85</v>
      </c>
    </row>
    <row r="90" spans="1:19" x14ac:dyDescent="0.4">
      <c r="A90">
        <v>86</v>
      </c>
      <c r="B90" t="s">
        <v>327</v>
      </c>
      <c r="C90" t="s">
        <v>341</v>
      </c>
      <c r="D90" t="s">
        <v>334</v>
      </c>
      <c r="E90" s="5"/>
      <c r="I90" t="s">
        <v>161</v>
      </c>
      <c r="J90" t="s">
        <v>359</v>
      </c>
      <c r="L90">
        <v>8</v>
      </c>
      <c r="N90">
        <f t="shared" si="3"/>
        <v>8</v>
      </c>
      <c r="O90" s="6">
        <f t="shared" si="4"/>
        <v>1</v>
      </c>
      <c r="P90">
        <v>43.688583374023438</v>
      </c>
      <c r="S90">
        <v>86</v>
      </c>
    </row>
    <row r="91" spans="1:19" x14ac:dyDescent="0.4">
      <c r="A91">
        <v>87</v>
      </c>
      <c r="B91" t="s">
        <v>310</v>
      </c>
      <c r="C91" t="s">
        <v>342</v>
      </c>
      <c r="D91" t="s">
        <v>343</v>
      </c>
      <c r="E91" s="5"/>
      <c r="I91" t="s">
        <v>161</v>
      </c>
      <c r="J91" t="s">
        <v>359</v>
      </c>
      <c r="L91">
        <v>7</v>
      </c>
      <c r="M91">
        <v>1</v>
      </c>
      <c r="N91">
        <f t="shared" si="3"/>
        <v>8</v>
      </c>
      <c r="O91" s="6">
        <f t="shared" si="4"/>
        <v>0.875</v>
      </c>
      <c r="P91">
        <v>17.853561401367188</v>
      </c>
      <c r="S91">
        <v>87</v>
      </c>
    </row>
    <row r="92" spans="1:19" x14ac:dyDescent="0.4">
      <c r="A92">
        <v>88</v>
      </c>
      <c r="B92" t="s">
        <v>309</v>
      </c>
      <c r="C92" t="s">
        <v>344</v>
      </c>
      <c r="D92" t="s">
        <v>345</v>
      </c>
      <c r="E92" s="5"/>
      <c r="I92" t="s">
        <v>161</v>
      </c>
      <c r="J92" t="s">
        <v>359</v>
      </c>
      <c r="L92">
        <v>9</v>
      </c>
      <c r="M92">
        <v>7</v>
      </c>
      <c r="N92">
        <f t="shared" si="3"/>
        <v>16</v>
      </c>
      <c r="O92" s="6">
        <f t="shared" si="4"/>
        <v>0.5625</v>
      </c>
      <c r="P92">
        <v>53.906265258789062</v>
      </c>
      <c r="S92">
        <v>88</v>
      </c>
    </row>
    <row r="93" spans="1:19" x14ac:dyDescent="0.4">
      <c r="A93">
        <v>89</v>
      </c>
      <c r="B93" t="s">
        <v>310</v>
      </c>
      <c r="C93" t="s">
        <v>346</v>
      </c>
      <c r="D93" t="s">
        <v>347</v>
      </c>
      <c r="E93" s="5"/>
      <c r="I93" t="s">
        <v>161</v>
      </c>
      <c r="J93" t="s">
        <v>359</v>
      </c>
      <c r="L93">
        <v>9</v>
      </c>
      <c r="M93">
        <v>7</v>
      </c>
      <c r="N93">
        <f t="shared" si="3"/>
        <v>16</v>
      </c>
      <c r="O93" s="6">
        <f t="shared" si="4"/>
        <v>0.5625</v>
      </c>
      <c r="P93">
        <v>71.328262329101562</v>
      </c>
      <c r="S93">
        <v>89</v>
      </c>
    </row>
    <row r="94" spans="1:19" x14ac:dyDescent="0.4">
      <c r="A94">
        <v>90</v>
      </c>
      <c r="B94" t="s">
        <v>310</v>
      </c>
      <c r="C94" t="s">
        <v>348</v>
      </c>
      <c r="D94" t="s">
        <v>349</v>
      </c>
      <c r="E94" s="5"/>
      <c r="I94" t="s">
        <v>161</v>
      </c>
      <c r="J94" t="s">
        <v>359</v>
      </c>
      <c r="L94">
        <v>9</v>
      </c>
      <c r="N94">
        <f t="shared" si="3"/>
        <v>9</v>
      </c>
      <c r="O94" s="6">
        <f t="shared" si="4"/>
        <v>1</v>
      </c>
      <c r="P94">
        <v>40.177574157714844</v>
      </c>
      <c r="S94">
        <v>90</v>
      </c>
    </row>
    <row r="95" spans="1:19" x14ac:dyDescent="0.4">
      <c r="A95">
        <v>91</v>
      </c>
      <c r="B95" t="s">
        <v>310</v>
      </c>
      <c r="C95" t="s">
        <v>350</v>
      </c>
      <c r="D95" t="s">
        <v>351</v>
      </c>
      <c r="E95" s="5"/>
      <c r="I95" t="s">
        <v>161</v>
      </c>
      <c r="J95" t="s">
        <v>359</v>
      </c>
      <c r="L95">
        <v>9</v>
      </c>
      <c r="M95">
        <v>5</v>
      </c>
      <c r="N95">
        <f t="shared" si="3"/>
        <v>14</v>
      </c>
      <c r="O95" s="6">
        <f t="shared" si="4"/>
        <v>0.6428571428571429</v>
      </c>
      <c r="P95">
        <v>46.741592407226563</v>
      </c>
      <c r="S95">
        <v>91</v>
      </c>
    </row>
    <row r="96" spans="1:19" x14ac:dyDescent="0.4">
      <c r="A96">
        <v>92</v>
      </c>
      <c r="B96" t="s">
        <v>309</v>
      </c>
      <c r="C96" t="s">
        <v>352</v>
      </c>
      <c r="D96" t="s">
        <v>509</v>
      </c>
      <c r="E96" s="5"/>
      <c r="I96" t="s">
        <v>161</v>
      </c>
      <c r="J96" t="s">
        <v>359</v>
      </c>
      <c r="L96">
        <v>6</v>
      </c>
      <c r="M96">
        <v>5</v>
      </c>
      <c r="N96">
        <f t="shared" si="3"/>
        <v>11</v>
      </c>
      <c r="O96" s="6">
        <f t="shared" si="4"/>
        <v>0.54545454545454541</v>
      </c>
      <c r="P96">
        <v>49.269256591796875</v>
      </c>
      <c r="S96">
        <v>92</v>
      </c>
    </row>
    <row r="97" spans="1:19" x14ac:dyDescent="0.4">
      <c r="A97">
        <v>93</v>
      </c>
      <c r="B97" t="s">
        <v>309</v>
      </c>
      <c r="C97" t="s">
        <v>353</v>
      </c>
      <c r="D97" t="s">
        <v>354</v>
      </c>
      <c r="E97" s="5"/>
      <c r="I97" t="s">
        <v>161</v>
      </c>
      <c r="J97" t="s">
        <v>359</v>
      </c>
      <c r="L97">
        <v>7</v>
      </c>
      <c r="M97">
        <v>1</v>
      </c>
      <c r="N97">
        <f t="shared" si="3"/>
        <v>8</v>
      </c>
      <c r="O97" s="6">
        <f t="shared" si="4"/>
        <v>0.875</v>
      </c>
      <c r="P97">
        <v>10.782974243164063</v>
      </c>
      <c r="S97">
        <v>93</v>
      </c>
    </row>
    <row r="98" spans="1:19" x14ac:dyDescent="0.4">
      <c r="A98">
        <v>94</v>
      </c>
      <c r="B98" t="s">
        <v>309</v>
      </c>
      <c r="C98" t="s">
        <v>355</v>
      </c>
      <c r="D98" t="s">
        <v>356</v>
      </c>
      <c r="E98" s="5"/>
      <c r="I98" t="s">
        <v>161</v>
      </c>
      <c r="J98" t="s">
        <v>359</v>
      </c>
      <c r="L98">
        <v>7</v>
      </c>
      <c r="M98">
        <v>1</v>
      </c>
      <c r="N98">
        <f t="shared" si="3"/>
        <v>8</v>
      </c>
      <c r="O98" s="6">
        <f t="shared" si="4"/>
        <v>0.875</v>
      </c>
      <c r="P98">
        <v>37.645767211914063</v>
      </c>
      <c r="S98">
        <v>94</v>
      </c>
    </row>
    <row r="99" spans="1:19" x14ac:dyDescent="0.4">
      <c r="A99">
        <v>95</v>
      </c>
      <c r="B99" t="s">
        <v>309</v>
      </c>
      <c r="C99" t="s">
        <v>357</v>
      </c>
      <c r="D99" t="s">
        <v>358</v>
      </c>
      <c r="E99" s="5"/>
      <c r="I99" t="s">
        <v>161</v>
      </c>
      <c r="J99" t="s">
        <v>359</v>
      </c>
      <c r="L99">
        <v>8</v>
      </c>
      <c r="M99">
        <v>3</v>
      </c>
      <c r="N99">
        <f t="shared" si="3"/>
        <v>11</v>
      </c>
      <c r="O99" s="6">
        <f t="shared" si="4"/>
        <v>0.72727272727272729</v>
      </c>
      <c r="P99">
        <v>3.21563720703125</v>
      </c>
      <c r="S99">
        <v>95</v>
      </c>
    </row>
    <row r="100" spans="1:19" x14ac:dyDescent="0.4">
      <c r="A100">
        <v>96</v>
      </c>
      <c r="B100" t="s">
        <v>364</v>
      </c>
      <c r="C100" t="s">
        <v>365</v>
      </c>
      <c r="D100" t="s">
        <v>366</v>
      </c>
      <c r="E100" s="5"/>
      <c r="I100" t="s">
        <v>161</v>
      </c>
      <c r="J100" t="s">
        <v>367</v>
      </c>
      <c r="L100">
        <v>2</v>
      </c>
      <c r="N100">
        <f t="shared" si="3"/>
        <v>2</v>
      </c>
      <c r="O100" s="6">
        <f t="shared" si="4"/>
        <v>1</v>
      </c>
      <c r="P100">
        <v>32.867019653320312</v>
      </c>
      <c r="S100">
        <v>96</v>
      </c>
    </row>
    <row r="101" spans="1:19" x14ac:dyDescent="0.4">
      <c r="A101">
        <v>97</v>
      </c>
      <c r="B101" t="s">
        <v>368</v>
      </c>
      <c r="C101" t="s">
        <v>511</v>
      </c>
      <c r="D101" t="s">
        <v>369</v>
      </c>
      <c r="E101" s="5"/>
      <c r="I101" t="s">
        <v>161</v>
      </c>
      <c r="J101" t="s">
        <v>367</v>
      </c>
      <c r="L101">
        <v>1</v>
      </c>
      <c r="M101">
        <v>2</v>
      </c>
      <c r="N101">
        <f t="shared" si="3"/>
        <v>3</v>
      </c>
      <c r="O101" s="6">
        <f t="shared" ref="O101:O127" si="5">IFERROR(L101/(M101+L101),"")</f>
        <v>0.33333333333333331</v>
      </c>
      <c r="P101">
        <v>71.332870483398438</v>
      </c>
      <c r="S101">
        <v>97</v>
      </c>
    </row>
    <row r="102" spans="1:19" x14ac:dyDescent="0.4">
      <c r="A102">
        <v>98</v>
      </c>
      <c r="B102" t="s">
        <v>370</v>
      </c>
      <c r="C102" t="s">
        <v>373</v>
      </c>
      <c r="D102" t="s">
        <v>374</v>
      </c>
      <c r="E102" s="5"/>
      <c r="I102" t="s">
        <v>161</v>
      </c>
      <c r="J102" t="s">
        <v>367</v>
      </c>
      <c r="L102">
        <v>1</v>
      </c>
      <c r="M102">
        <v>1</v>
      </c>
      <c r="N102">
        <f t="shared" si="3"/>
        <v>2</v>
      </c>
      <c r="O102" s="6">
        <f t="shared" si="5"/>
        <v>0.5</v>
      </c>
      <c r="P102">
        <v>64.602890014648437</v>
      </c>
      <c r="S102">
        <v>98</v>
      </c>
    </row>
    <row r="103" spans="1:19" x14ac:dyDescent="0.4">
      <c r="A103">
        <v>99</v>
      </c>
      <c r="B103" t="s">
        <v>368</v>
      </c>
      <c r="C103" t="s">
        <v>371</v>
      </c>
      <c r="D103" t="s">
        <v>372</v>
      </c>
      <c r="E103" s="5"/>
      <c r="I103" t="s">
        <v>161</v>
      </c>
      <c r="J103" t="s">
        <v>367</v>
      </c>
      <c r="L103">
        <v>1</v>
      </c>
      <c r="M103">
        <v>1</v>
      </c>
      <c r="N103">
        <f t="shared" si="3"/>
        <v>2</v>
      </c>
      <c r="O103" s="6">
        <f t="shared" si="5"/>
        <v>0.5</v>
      </c>
      <c r="P103">
        <v>21.474868774414063</v>
      </c>
      <c r="S103">
        <v>99</v>
      </c>
    </row>
    <row r="104" spans="1:19" x14ac:dyDescent="0.4">
      <c r="A104">
        <v>100</v>
      </c>
      <c r="B104" t="s">
        <v>370</v>
      </c>
      <c r="C104" t="s">
        <v>375</v>
      </c>
      <c r="D104" t="s">
        <v>374</v>
      </c>
      <c r="E104" s="5"/>
      <c r="I104" t="s">
        <v>161</v>
      </c>
      <c r="J104" t="s">
        <v>367</v>
      </c>
      <c r="L104">
        <v>1</v>
      </c>
      <c r="N104">
        <f t="shared" si="3"/>
        <v>1</v>
      </c>
      <c r="O104" s="6">
        <f t="shared" si="5"/>
        <v>1</v>
      </c>
      <c r="P104">
        <v>56.342315673828125</v>
      </c>
      <c r="S104">
        <v>100</v>
      </c>
    </row>
    <row r="105" spans="1:19" x14ac:dyDescent="0.4">
      <c r="A105">
        <v>101</v>
      </c>
      <c r="B105" t="s">
        <v>368</v>
      </c>
      <c r="C105" t="s">
        <v>376</v>
      </c>
      <c r="D105" t="s">
        <v>377</v>
      </c>
      <c r="I105" t="s">
        <v>161</v>
      </c>
      <c r="J105" t="s">
        <v>367</v>
      </c>
      <c r="L105">
        <v>1</v>
      </c>
      <c r="M105">
        <v>1</v>
      </c>
      <c r="N105">
        <f t="shared" si="3"/>
        <v>2</v>
      </c>
      <c r="O105" s="6">
        <f t="shared" si="5"/>
        <v>0.5</v>
      </c>
      <c r="P105">
        <v>38.605972290039063</v>
      </c>
      <c r="S105">
        <v>101</v>
      </c>
    </row>
    <row r="106" spans="1:19" x14ac:dyDescent="0.4">
      <c r="A106">
        <v>102</v>
      </c>
      <c r="B106" t="s">
        <v>368</v>
      </c>
      <c r="C106" t="s">
        <v>378</v>
      </c>
      <c r="D106" t="s">
        <v>379</v>
      </c>
      <c r="I106" t="s">
        <v>161</v>
      </c>
      <c r="J106" t="s">
        <v>367</v>
      </c>
      <c r="L106">
        <v>1</v>
      </c>
      <c r="M106">
        <v>3</v>
      </c>
      <c r="N106">
        <f t="shared" si="3"/>
        <v>4</v>
      </c>
      <c r="O106" s="6">
        <f t="shared" si="5"/>
        <v>0.25</v>
      </c>
      <c r="P106">
        <v>24.621597290039063</v>
      </c>
      <c r="S106">
        <v>102</v>
      </c>
    </row>
    <row r="107" spans="1:19" x14ac:dyDescent="0.4">
      <c r="A107">
        <v>103</v>
      </c>
      <c r="B107" t="s">
        <v>368</v>
      </c>
      <c r="C107" t="s">
        <v>380</v>
      </c>
      <c r="D107" t="s">
        <v>381</v>
      </c>
      <c r="I107" t="s">
        <v>161</v>
      </c>
      <c r="J107" t="s">
        <v>367</v>
      </c>
      <c r="L107">
        <v>1</v>
      </c>
      <c r="M107">
        <v>1</v>
      </c>
      <c r="N107">
        <f t="shared" si="3"/>
        <v>2</v>
      </c>
      <c r="O107" s="6">
        <f t="shared" si="5"/>
        <v>0.5</v>
      </c>
      <c r="P107">
        <v>23.099502563476563</v>
      </c>
      <c r="S107">
        <v>103</v>
      </c>
    </row>
    <row r="108" spans="1:19" x14ac:dyDescent="0.4">
      <c r="A108">
        <v>104</v>
      </c>
      <c r="B108" t="s">
        <v>368</v>
      </c>
      <c r="C108" t="s">
        <v>382</v>
      </c>
      <c r="D108" t="s">
        <v>383</v>
      </c>
      <c r="I108" t="s">
        <v>161</v>
      </c>
      <c r="J108" t="s">
        <v>367</v>
      </c>
      <c r="L108">
        <v>1</v>
      </c>
      <c r="M108">
        <v>1</v>
      </c>
      <c r="N108">
        <f t="shared" si="3"/>
        <v>2</v>
      </c>
      <c r="O108" s="6">
        <f t="shared" si="5"/>
        <v>0.5</v>
      </c>
      <c r="P108">
        <v>49.483978271484375</v>
      </c>
      <c r="S108">
        <v>104</v>
      </c>
    </row>
    <row r="109" spans="1:19" x14ac:dyDescent="0.4">
      <c r="A109">
        <v>105</v>
      </c>
      <c r="B109" t="s">
        <v>384</v>
      </c>
      <c r="C109" t="s">
        <v>385</v>
      </c>
      <c r="D109" t="s">
        <v>386</v>
      </c>
      <c r="I109" t="s">
        <v>161</v>
      </c>
      <c r="J109" t="s">
        <v>367</v>
      </c>
      <c r="L109">
        <v>1</v>
      </c>
      <c r="M109">
        <v>1</v>
      </c>
      <c r="N109">
        <f t="shared" si="3"/>
        <v>2</v>
      </c>
      <c r="O109" s="6">
        <f t="shared" si="5"/>
        <v>0.5</v>
      </c>
      <c r="P109">
        <v>11.21075439453125</v>
      </c>
      <c r="S109">
        <v>105</v>
      </c>
    </row>
    <row r="110" spans="1:19" x14ac:dyDescent="0.4">
      <c r="A110">
        <v>106</v>
      </c>
      <c r="B110" t="s">
        <v>384</v>
      </c>
      <c r="C110" t="s">
        <v>387</v>
      </c>
      <c r="D110" t="s">
        <v>388</v>
      </c>
      <c r="I110" t="s">
        <v>161</v>
      </c>
      <c r="J110" t="s">
        <v>367</v>
      </c>
      <c r="L110">
        <v>1</v>
      </c>
      <c r="M110">
        <v>1</v>
      </c>
      <c r="N110">
        <f t="shared" si="3"/>
        <v>2</v>
      </c>
      <c r="O110" s="6">
        <f t="shared" si="5"/>
        <v>0.5</v>
      </c>
      <c r="P110">
        <v>15.408157348632813</v>
      </c>
      <c r="S110">
        <v>106</v>
      </c>
    </row>
    <row r="111" spans="1:19" x14ac:dyDescent="0.4">
      <c r="A111">
        <v>107</v>
      </c>
      <c r="B111" t="s">
        <v>384</v>
      </c>
      <c r="C111" t="s">
        <v>389</v>
      </c>
      <c r="D111" t="s">
        <v>390</v>
      </c>
      <c r="I111" t="s">
        <v>161</v>
      </c>
      <c r="J111" t="s">
        <v>367</v>
      </c>
      <c r="L111">
        <v>1</v>
      </c>
      <c r="M111">
        <v>1</v>
      </c>
      <c r="N111">
        <f t="shared" si="3"/>
        <v>2</v>
      </c>
      <c r="O111" s="6">
        <f t="shared" si="5"/>
        <v>0.5</v>
      </c>
      <c r="P111">
        <v>36.005859375</v>
      </c>
      <c r="S111">
        <v>107</v>
      </c>
    </row>
    <row r="112" spans="1:19" x14ac:dyDescent="0.4">
      <c r="A112">
        <v>108</v>
      </c>
      <c r="B112" t="s">
        <v>384</v>
      </c>
      <c r="C112" t="s">
        <v>391</v>
      </c>
      <c r="D112" t="s">
        <v>392</v>
      </c>
      <c r="I112" t="s">
        <v>161</v>
      </c>
      <c r="J112" t="s">
        <v>367</v>
      </c>
      <c r="L112">
        <v>1</v>
      </c>
      <c r="M112">
        <v>2</v>
      </c>
      <c r="N112">
        <f t="shared" si="3"/>
        <v>3</v>
      </c>
      <c r="O112" s="6">
        <f t="shared" si="5"/>
        <v>0.33333333333333331</v>
      </c>
      <c r="P112">
        <v>35.041946411132813</v>
      </c>
      <c r="S112">
        <v>108</v>
      </c>
    </row>
    <row r="113" spans="1:19" x14ac:dyDescent="0.4">
      <c r="A113">
        <v>109</v>
      </c>
      <c r="B113" t="s">
        <v>384</v>
      </c>
      <c r="C113" t="s">
        <v>393</v>
      </c>
      <c r="D113" t="s">
        <v>394</v>
      </c>
      <c r="I113" t="s">
        <v>161</v>
      </c>
      <c r="J113" t="s">
        <v>367</v>
      </c>
      <c r="L113">
        <v>1</v>
      </c>
      <c r="M113">
        <v>1</v>
      </c>
      <c r="N113">
        <f t="shared" si="3"/>
        <v>2</v>
      </c>
      <c r="O113" s="6">
        <f t="shared" si="5"/>
        <v>0.5</v>
      </c>
      <c r="P113">
        <v>78.81011962890625</v>
      </c>
      <c r="S113">
        <v>109</v>
      </c>
    </row>
    <row r="114" spans="1:19" x14ac:dyDescent="0.4">
      <c r="A114">
        <v>110</v>
      </c>
      <c r="B114" t="s">
        <v>384</v>
      </c>
      <c r="C114" t="s">
        <v>395</v>
      </c>
      <c r="D114" t="s">
        <v>396</v>
      </c>
      <c r="I114" t="s">
        <v>161</v>
      </c>
      <c r="J114" t="s">
        <v>367</v>
      </c>
      <c r="L114">
        <v>1</v>
      </c>
      <c r="M114">
        <v>1</v>
      </c>
      <c r="N114">
        <f t="shared" si="3"/>
        <v>2</v>
      </c>
      <c r="O114" s="6">
        <f t="shared" si="5"/>
        <v>0.5</v>
      </c>
      <c r="P114">
        <v>34.670089721679688</v>
      </c>
      <c r="S114">
        <v>110</v>
      </c>
    </row>
    <row r="115" spans="1:19" x14ac:dyDescent="0.4">
      <c r="A115">
        <v>111</v>
      </c>
      <c r="B115" t="s">
        <v>384</v>
      </c>
      <c r="C115" t="s">
        <v>406</v>
      </c>
      <c r="D115" t="s">
        <v>397</v>
      </c>
      <c r="I115" t="s">
        <v>161</v>
      </c>
      <c r="J115" t="s">
        <v>367</v>
      </c>
      <c r="L115">
        <v>1</v>
      </c>
      <c r="M115">
        <v>3</v>
      </c>
      <c r="N115">
        <f t="shared" si="3"/>
        <v>4</v>
      </c>
      <c r="O115" s="6">
        <f t="shared" si="5"/>
        <v>0.25</v>
      </c>
      <c r="P115">
        <v>17.0068359375</v>
      </c>
      <c r="S115">
        <v>111</v>
      </c>
    </row>
    <row r="116" spans="1:19" x14ac:dyDescent="0.4">
      <c r="A116">
        <v>112</v>
      </c>
      <c r="B116" t="s">
        <v>384</v>
      </c>
      <c r="C116" t="s">
        <v>398</v>
      </c>
      <c r="D116" t="s">
        <v>399</v>
      </c>
      <c r="I116" t="s">
        <v>161</v>
      </c>
      <c r="J116" t="s">
        <v>367</v>
      </c>
      <c r="L116">
        <v>1</v>
      </c>
      <c r="N116">
        <f t="shared" si="3"/>
        <v>1</v>
      </c>
      <c r="O116" s="6">
        <f t="shared" si="5"/>
        <v>1</v>
      </c>
      <c r="P116">
        <v>26.162460327148438</v>
      </c>
      <c r="S116">
        <v>112</v>
      </c>
    </row>
    <row r="117" spans="1:19" x14ac:dyDescent="0.4">
      <c r="A117">
        <v>113</v>
      </c>
      <c r="B117" t="s">
        <v>384</v>
      </c>
      <c r="C117" t="s">
        <v>400</v>
      </c>
      <c r="D117" t="s">
        <v>401</v>
      </c>
      <c r="I117" t="s">
        <v>161</v>
      </c>
      <c r="J117" t="s">
        <v>367</v>
      </c>
      <c r="L117">
        <v>1</v>
      </c>
      <c r="M117">
        <v>1</v>
      </c>
      <c r="N117">
        <f t="shared" si="3"/>
        <v>2</v>
      </c>
      <c r="O117" s="6">
        <f t="shared" si="5"/>
        <v>0.5</v>
      </c>
      <c r="P117">
        <v>33.041778564453125</v>
      </c>
      <c r="S117">
        <v>113</v>
      </c>
    </row>
    <row r="118" spans="1:19" x14ac:dyDescent="0.4">
      <c r="A118">
        <v>114</v>
      </c>
      <c r="B118" t="s">
        <v>384</v>
      </c>
      <c r="C118" t="s">
        <v>402</v>
      </c>
      <c r="D118" t="s">
        <v>403</v>
      </c>
      <c r="I118" t="s">
        <v>161</v>
      </c>
      <c r="J118" t="s">
        <v>367</v>
      </c>
      <c r="L118">
        <v>1</v>
      </c>
      <c r="M118">
        <v>1</v>
      </c>
      <c r="N118">
        <f t="shared" si="3"/>
        <v>2</v>
      </c>
      <c r="O118" s="6">
        <f t="shared" si="5"/>
        <v>0.5</v>
      </c>
      <c r="P118">
        <v>63.338607788085938</v>
      </c>
      <c r="S118">
        <v>114</v>
      </c>
    </row>
    <row r="119" spans="1:19" x14ac:dyDescent="0.4">
      <c r="A119">
        <v>115</v>
      </c>
      <c r="B119" t="s">
        <v>384</v>
      </c>
      <c r="C119" t="s">
        <v>405</v>
      </c>
      <c r="D119" t="s">
        <v>404</v>
      </c>
      <c r="I119" t="s">
        <v>161</v>
      </c>
      <c r="J119" t="s">
        <v>367</v>
      </c>
      <c r="L119">
        <v>1</v>
      </c>
      <c r="M119">
        <v>1</v>
      </c>
      <c r="N119">
        <f t="shared" si="3"/>
        <v>2</v>
      </c>
      <c r="O119" s="6">
        <f t="shared" si="5"/>
        <v>0.5</v>
      </c>
      <c r="P119">
        <v>14.439895629882812</v>
      </c>
      <c r="S119">
        <v>115</v>
      </c>
    </row>
    <row r="120" spans="1:19" x14ac:dyDescent="0.4">
      <c r="A120">
        <v>116</v>
      </c>
      <c r="B120" t="s">
        <v>407</v>
      </c>
      <c r="C120" t="s">
        <v>408</v>
      </c>
      <c r="D120" t="s">
        <v>409</v>
      </c>
      <c r="I120" t="s">
        <v>161</v>
      </c>
      <c r="J120" t="s">
        <v>422</v>
      </c>
      <c r="L120">
        <v>1</v>
      </c>
      <c r="N120">
        <f t="shared" si="3"/>
        <v>1</v>
      </c>
      <c r="O120" s="6">
        <f t="shared" si="5"/>
        <v>1</v>
      </c>
      <c r="P120">
        <v>75.724319458007812</v>
      </c>
      <c r="S120">
        <v>116</v>
      </c>
    </row>
    <row r="121" spans="1:19" x14ac:dyDescent="0.4">
      <c r="A121">
        <v>117</v>
      </c>
      <c r="B121" t="s">
        <v>370</v>
      </c>
      <c r="C121" t="s">
        <v>410</v>
      </c>
      <c r="D121" t="s">
        <v>409</v>
      </c>
      <c r="I121" t="s">
        <v>161</v>
      </c>
      <c r="J121" t="s">
        <v>422</v>
      </c>
      <c r="L121">
        <v>1</v>
      </c>
      <c r="N121">
        <f t="shared" si="3"/>
        <v>1</v>
      </c>
      <c r="O121" s="6">
        <f t="shared" si="5"/>
        <v>1</v>
      </c>
      <c r="P121">
        <v>22.962112426757813</v>
      </c>
      <c r="S121">
        <v>117</v>
      </c>
    </row>
    <row r="122" spans="1:19" x14ac:dyDescent="0.4">
      <c r="A122">
        <v>118</v>
      </c>
      <c r="B122" t="s">
        <v>368</v>
      </c>
      <c r="C122" t="s">
        <v>411</v>
      </c>
      <c r="D122" t="s">
        <v>412</v>
      </c>
      <c r="I122" t="s">
        <v>161</v>
      </c>
      <c r="J122" t="s">
        <v>422</v>
      </c>
      <c r="L122">
        <v>1</v>
      </c>
      <c r="N122">
        <f t="shared" si="3"/>
        <v>1</v>
      </c>
      <c r="O122" s="6">
        <f t="shared" si="5"/>
        <v>1</v>
      </c>
      <c r="P122">
        <v>17.963607788085937</v>
      </c>
      <c r="S122">
        <v>118</v>
      </c>
    </row>
    <row r="123" spans="1:19" x14ac:dyDescent="0.4">
      <c r="A123">
        <v>119</v>
      </c>
      <c r="B123" t="s">
        <v>384</v>
      </c>
      <c r="C123" t="s">
        <v>413</v>
      </c>
      <c r="D123" t="s">
        <v>512</v>
      </c>
      <c r="I123" t="s">
        <v>161</v>
      </c>
      <c r="J123" t="s">
        <v>422</v>
      </c>
      <c r="M123">
        <v>1</v>
      </c>
      <c r="N123">
        <f t="shared" si="3"/>
        <v>1</v>
      </c>
      <c r="O123" s="6">
        <f t="shared" si="5"/>
        <v>0</v>
      </c>
      <c r="P123">
        <v>45.448944091796875</v>
      </c>
      <c r="S123">
        <v>119</v>
      </c>
    </row>
    <row r="124" spans="1:19" x14ac:dyDescent="0.4">
      <c r="A124">
        <v>120</v>
      </c>
      <c r="B124" t="s">
        <v>384</v>
      </c>
      <c r="C124" t="s">
        <v>414</v>
      </c>
      <c r="D124" t="s">
        <v>415</v>
      </c>
      <c r="I124" t="s">
        <v>161</v>
      </c>
      <c r="J124" t="s">
        <v>422</v>
      </c>
      <c r="N124" t="str">
        <f t="shared" si="3"/>
        <v/>
      </c>
      <c r="O124" s="6" t="str">
        <f t="shared" si="5"/>
        <v/>
      </c>
      <c r="P124">
        <v>6.8294219970703125</v>
      </c>
      <c r="S124">
        <v>120</v>
      </c>
    </row>
    <row r="125" spans="1:19" x14ac:dyDescent="0.4">
      <c r="A125">
        <v>121</v>
      </c>
      <c r="B125" t="s">
        <v>368</v>
      </c>
      <c r="C125" t="s">
        <v>416</v>
      </c>
      <c r="D125" t="s">
        <v>417</v>
      </c>
      <c r="I125" t="s">
        <v>161</v>
      </c>
      <c r="J125" t="s">
        <v>422</v>
      </c>
      <c r="N125" t="str">
        <f t="shared" si="3"/>
        <v/>
      </c>
      <c r="O125" s="6" t="str">
        <f t="shared" si="5"/>
        <v/>
      </c>
      <c r="P125">
        <v>32.271499633789063</v>
      </c>
      <c r="S125">
        <v>121</v>
      </c>
    </row>
    <row r="126" spans="1:19" x14ac:dyDescent="0.4">
      <c r="A126">
        <v>122</v>
      </c>
      <c r="B126" t="s">
        <v>368</v>
      </c>
      <c r="C126" t="s">
        <v>418</v>
      </c>
      <c r="D126" t="s">
        <v>419</v>
      </c>
      <c r="I126" t="s">
        <v>161</v>
      </c>
      <c r="J126" t="s">
        <v>422</v>
      </c>
      <c r="N126" t="str">
        <f t="shared" si="3"/>
        <v/>
      </c>
      <c r="O126" s="6" t="str">
        <f t="shared" si="5"/>
        <v/>
      </c>
      <c r="P126">
        <v>18.0362548828125</v>
      </c>
      <c r="S126">
        <v>122</v>
      </c>
    </row>
    <row r="127" spans="1:19" x14ac:dyDescent="0.4">
      <c r="A127">
        <v>123</v>
      </c>
      <c r="B127" t="s">
        <v>368</v>
      </c>
      <c r="C127" t="s">
        <v>420</v>
      </c>
      <c r="D127" t="s">
        <v>421</v>
      </c>
      <c r="I127" t="s">
        <v>161</v>
      </c>
      <c r="J127" t="s">
        <v>422</v>
      </c>
      <c r="N127" t="str">
        <f t="shared" si="3"/>
        <v/>
      </c>
      <c r="O127" s="6" t="str">
        <f t="shared" si="5"/>
        <v/>
      </c>
      <c r="P127">
        <v>21.321624755859375</v>
      </c>
      <c r="S127">
        <v>123</v>
      </c>
    </row>
    <row r="128" spans="1:19" x14ac:dyDescent="0.4">
      <c r="A128">
        <v>124</v>
      </c>
      <c r="N128" t="str">
        <f t="shared" si="3"/>
        <v/>
      </c>
      <c r="O128" s="6"/>
      <c r="S128">
        <v>124</v>
      </c>
    </row>
    <row r="129" spans="1:19" x14ac:dyDescent="0.4">
      <c r="A129">
        <v>125</v>
      </c>
      <c r="N129" t="str">
        <f t="shared" si="3"/>
        <v/>
      </c>
      <c r="O129" s="6"/>
      <c r="S129">
        <v>125</v>
      </c>
    </row>
    <row r="130" spans="1:19" x14ac:dyDescent="0.4">
      <c r="A130">
        <v>126</v>
      </c>
      <c r="N130" t="str">
        <f t="shared" si="3"/>
        <v/>
      </c>
      <c r="O130" s="6"/>
      <c r="S130">
        <v>126</v>
      </c>
    </row>
    <row r="131" spans="1:19" x14ac:dyDescent="0.4">
      <c r="A131">
        <v>127</v>
      </c>
      <c r="N131" t="str">
        <f t="shared" si="3"/>
        <v/>
      </c>
      <c r="O131" s="6"/>
      <c r="S131">
        <v>127</v>
      </c>
    </row>
    <row r="132" spans="1:19" x14ac:dyDescent="0.4">
      <c r="A132">
        <v>128</v>
      </c>
      <c r="N132" t="str">
        <f t="shared" si="3"/>
        <v/>
      </c>
      <c r="O132" s="6"/>
      <c r="S132">
        <v>128</v>
      </c>
    </row>
    <row r="133" spans="1:19" x14ac:dyDescent="0.4">
      <c r="A133">
        <v>129</v>
      </c>
      <c r="N133" t="str">
        <f t="shared" ref="N133:N196" si="6">IFERROR(IF(L133+M133=0,"",L133+M133),"")</f>
        <v/>
      </c>
      <c r="O133" s="6"/>
      <c r="S133">
        <v>129</v>
      </c>
    </row>
    <row r="134" spans="1:19" x14ac:dyDescent="0.4">
      <c r="A134">
        <v>130</v>
      </c>
      <c r="N134" t="str">
        <f t="shared" si="6"/>
        <v/>
      </c>
      <c r="O134" s="6"/>
      <c r="S134">
        <v>130</v>
      </c>
    </row>
    <row r="135" spans="1:19" x14ac:dyDescent="0.4">
      <c r="A135">
        <v>131</v>
      </c>
      <c r="N135" t="str">
        <f t="shared" si="6"/>
        <v/>
      </c>
      <c r="O135" s="6"/>
      <c r="S135">
        <v>131</v>
      </c>
    </row>
    <row r="136" spans="1:19" x14ac:dyDescent="0.4">
      <c r="A136">
        <v>132</v>
      </c>
      <c r="N136" t="str">
        <f t="shared" si="6"/>
        <v/>
      </c>
      <c r="O136" s="6"/>
      <c r="S136">
        <v>132</v>
      </c>
    </row>
    <row r="137" spans="1:19" x14ac:dyDescent="0.4">
      <c r="A137">
        <v>133</v>
      </c>
      <c r="N137" t="str">
        <f t="shared" si="6"/>
        <v/>
      </c>
      <c r="O137" s="6"/>
      <c r="S137">
        <v>133</v>
      </c>
    </row>
    <row r="138" spans="1:19" x14ac:dyDescent="0.4">
      <c r="A138">
        <v>134</v>
      </c>
      <c r="N138" t="str">
        <f t="shared" si="6"/>
        <v/>
      </c>
      <c r="O138" s="6"/>
      <c r="S138">
        <v>134</v>
      </c>
    </row>
    <row r="139" spans="1:19" x14ac:dyDescent="0.4">
      <c r="A139">
        <v>135</v>
      </c>
      <c r="N139" t="str">
        <f t="shared" si="6"/>
        <v/>
      </c>
      <c r="O139" s="6"/>
      <c r="S139">
        <v>135</v>
      </c>
    </row>
    <row r="140" spans="1:19" x14ac:dyDescent="0.4">
      <c r="A140">
        <v>136</v>
      </c>
      <c r="N140" t="str">
        <f t="shared" si="6"/>
        <v/>
      </c>
      <c r="O140" s="6"/>
      <c r="S140">
        <v>136</v>
      </c>
    </row>
    <row r="141" spans="1:19" x14ac:dyDescent="0.4">
      <c r="A141">
        <v>137</v>
      </c>
      <c r="N141" t="str">
        <f t="shared" si="6"/>
        <v/>
      </c>
      <c r="O141" s="6"/>
      <c r="S141">
        <v>137</v>
      </c>
    </row>
    <row r="142" spans="1:19" x14ac:dyDescent="0.4">
      <c r="A142">
        <v>138</v>
      </c>
      <c r="N142" t="str">
        <f t="shared" si="6"/>
        <v/>
      </c>
      <c r="O142" s="6"/>
      <c r="S142">
        <v>138</v>
      </c>
    </row>
    <row r="143" spans="1:19" x14ac:dyDescent="0.4">
      <c r="A143">
        <v>139</v>
      </c>
      <c r="N143" t="str">
        <f t="shared" si="6"/>
        <v/>
      </c>
      <c r="O143" s="6"/>
      <c r="S143">
        <v>139</v>
      </c>
    </row>
    <row r="144" spans="1:19" x14ac:dyDescent="0.4">
      <c r="A144">
        <v>140</v>
      </c>
      <c r="N144" t="str">
        <f t="shared" si="6"/>
        <v/>
      </c>
      <c r="O144" s="6"/>
      <c r="S144">
        <v>140</v>
      </c>
    </row>
    <row r="145" spans="1:19" x14ac:dyDescent="0.4">
      <c r="A145">
        <v>141</v>
      </c>
      <c r="N145" t="str">
        <f t="shared" si="6"/>
        <v/>
      </c>
      <c r="O145" s="6"/>
      <c r="S145">
        <v>141</v>
      </c>
    </row>
    <row r="146" spans="1:19" x14ac:dyDescent="0.4">
      <c r="A146">
        <v>142</v>
      </c>
      <c r="N146" t="str">
        <f t="shared" si="6"/>
        <v/>
      </c>
      <c r="O146" s="6"/>
      <c r="S146">
        <v>142</v>
      </c>
    </row>
    <row r="147" spans="1:19" x14ac:dyDescent="0.4">
      <c r="A147">
        <v>143</v>
      </c>
      <c r="N147" t="str">
        <f t="shared" si="6"/>
        <v/>
      </c>
      <c r="O147" s="6"/>
      <c r="S147">
        <v>143</v>
      </c>
    </row>
    <row r="148" spans="1:19" x14ac:dyDescent="0.4">
      <c r="A148">
        <v>144</v>
      </c>
      <c r="N148" t="str">
        <f t="shared" si="6"/>
        <v/>
      </c>
      <c r="O148" s="6"/>
      <c r="S148">
        <v>144</v>
      </c>
    </row>
    <row r="149" spans="1:19" x14ac:dyDescent="0.4">
      <c r="A149">
        <v>145</v>
      </c>
      <c r="N149" t="str">
        <f t="shared" si="6"/>
        <v/>
      </c>
      <c r="O149" s="6"/>
      <c r="S149">
        <v>145</v>
      </c>
    </row>
    <row r="150" spans="1:19" x14ac:dyDescent="0.4">
      <c r="A150">
        <v>146</v>
      </c>
      <c r="N150" t="str">
        <f t="shared" si="6"/>
        <v/>
      </c>
      <c r="O150" s="6"/>
      <c r="S150">
        <v>146</v>
      </c>
    </row>
    <row r="151" spans="1:19" x14ac:dyDescent="0.4">
      <c r="A151">
        <v>147</v>
      </c>
      <c r="N151" t="str">
        <f t="shared" si="6"/>
        <v/>
      </c>
      <c r="O151" s="6"/>
      <c r="S151">
        <v>147</v>
      </c>
    </row>
    <row r="152" spans="1:19" x14ac:dyDescent="0.4">
      <c r="A152">
        <v>148</v>
      </c>
      <c r="N152" t="str">
        <f t="shared" si="6"/>
        <v/>
      </c>
      <c r="O152" s="6"/>
      <c r="S152">
        <v>148</v>
      </c>
    </row>
    <row r="153" spans="1:19" x14ac:dyDescent="0.4">
      <c r="A153">
        <v>149</v>
      </c>
      <c r="N153" t="str">
        <f t="shared" si="6"/>
        <v/>
      </c>
      <c r="O153" s="6"/>
      <c r="S153">
        <v>149</v>
      </c>
    </row>
    <row r="154" spans="1:19" x14ac:dyDescent="0.4">
      <c r="A154">
        <v>150</v>
      </c>
      <c r="N154" t="str">
        <f t="shared" si="6"/>
        <v/>
      </c>
      <c r="O154" s="6"/>
      <c r="S154">
        <v>150</v>
      </c>
    </row>
    <row r="155" spans="1:19" x14ac:dyDescent="0.4">
      <c r="A155">
        <v>151</v>
      </c>
      <c r="N155" t="str">
        <f t="shared" si="6"/>
        <v/>
      </c>
      <c r="O155" s="6"/>
      <c r="S155">
        <v>151</v>
      </c>
    </row>
    <row r="156" spans="1:19" x14ac:dyDescent="0.4">
      <c r="A156">
        <v>152</v>
      </c>
      <c r="N156" t="str">
        <f t="shared" si="6"/>
        <v/>
      </c>
      <c r="O156" s="6"/>
      <c r="S156">
        <v>152</v>
      </c>
    </row>
    <row r="157" spans="1:19" x14ac:dyDescent="0.4">
      <c r="A157">
        <v>153</v>
      </c>
      <c r="N157" t="str">
        <f t="shared" si="6"/>
        <v/>
      </c>
      <c r="O157" s="6"/>
      <c r="S157">
        <v>153</v>
      </c>
    </row>
    <row r="158" spans="1:19" x14ac:dyDescent="0.4">
      <c r="A158">
        <v>154</v>
      </c>
      <c r="N158" t="str">
        <f t="shared" si="6"/>
        <v/>
      </c>
      <c r="O158" s="6"/>
      <c r="S158">
        <v>154</v>
      </c>
    </row>
    <row r="159" spans="1:19" x14ac:dyDescent="0.4">
      <c r="A159">
        <v>155</v>
      </c>
      <c r="N159" t="str">
        <f t="shared" si="6"/>
        <v/>
      </c>
      <c r="O159" s="6"/>
      <c r="S159">
        <v>155</v>
      </c>
    </row>
    <row r="160" spans="1:19" x14ac:dyDescent="0.4">
      <c r="A160">
        <v>156</v>
      </c>
      <c r="N160" t="str">
        <f t="shared" si="6"/>
        <v/>
      </c>
      <c r="O160" s="6"/>
      <c r="S160">
        <v>156</v>
      </c>
    </row>
    <row r="161" spans="1:19" x14ac:dyDescent="0.4">
      <c r="A161">
        <v>157</v>
      </c>
      <c r="N161" t="str">
        <f t="shared" si="6"/>
        <v/>
      </c>
      <c r="O161" s="6"/>
      <c r="S161">
        <v>157</v>
      </c>
    </row>
    <row r="162" spans="1:19" x14ac:dyDescent="0.4">
      <c r="A162">
        <v>158</v>
      </c>
      <c r="N162" t="str">
        <f t="shared" si="6"/>
        <v/>
      </c>
      <c r="O162" s="6"/>
      <c r="S162">
        <v>158</v>
      </c>
    </row>
    <row r="163" spans="1:19" x14ac:dyDescent="0.4">
      <c r="A163">
        <v>159</v>
      </c>
      <c r="N163" t="str">
        <f t="shared" si="6"/>
        <v/>
      </c>
      <c r="O163" s="6"/>
      <c r="S163">
        <v>159</v>
      </c>
    </row>
    <row r="164" spans="1:19" x14ac:dyDescent="0.4">
      <c r="A164">
        <v>160</v>
      </c>
      <c r="N164" t="str">
        <f t="shared" si="6"/>
        <v/>
      </c>
      <c r="O164" s="6"/>
      <c r="S164">
        <v>160</v>
      </c>
    </row>
    <row r="165" spans="1:19" x14ac:dyDescent="0.4">
      <c r="A165">
        <v>161</v>
      </c>
      <c r="N165" t="str">
        <f t="shared" si="6"/>
        <v/>
      </c>
      <c r="O165" s="6"/>
      <c r="S165">
        <v>161</v>
      </c>
    </row>
    <row r="166" spans="1:19" x14ac:dyDescent="0.4">
      <c r="A166">
        <v>162</v>
      </c>
      <c r="N166" t="str">
        <f t="shared" si="6"/>
        <v/>
      </c>
      <c r="O166" s="6"/>
      <c r="S166">
        <v>162</v>
      </c>
    </row>
    <row r="167" spans="1:19" x14ac:dyDescent="0.4">
      <c r="A167">
        <v>163</v>
      </c>
      <c r="N167" t="str">
        <f t="shared" si="6"/>
        <v/>
      </c>
      <c r="O167" s="6"/>
      <c r="S167">
        <v>163</v>
      </c>
    </row>
    <row r="168" spans="1:19" x14ac:dyDescent="0.4">
      <c r="A168">
        <v>164</v>
      </c>
      <c r="N168" t="str">
        <f t="shared" si="6"/>
        <v/>
      </c>
      <c r="O168" s="6"/>
      <c r="S168">
        <v>164</v>
      </c>
    </row>
    <row r="169" spans="1:19" x14ac:dyDescent="0.4">
      <c r="A169">
        <v>165</v>
      </c>
      <c r="N169" t="str">
        <f t="shared" si="6"/>
        <v/>
      </c>
      <c r="O169" s="6"/>
      <c r="S169">
        <v>165</v>
      </c>
    </row>
    <row r="170" spans="1:19" x14ac:dyDescent="0.4">
      <c r="A170">
        <v>166</v>
      </c>
      <c r="N170" t="str">
        <f t="shared" si="6"/>
        <v/>
      </c>
      <c r="O170" s="6"/>
      <c r="S170">
        <v>166</v>
      </c>
    </row>
    <row r="171" spans="1:19" x14ac:dyDescent="0.4">
      <c r="A171">
        <v>167</v>
      </c>
      <c r="N171" t="str">
        <f t="shared" si="6"/>
        <v/>
      </c>
      <c r="O171" s="6"/>
      <c r="S171">
        <v>167</v>
      </c>
    </row>
    <row r="172" spans="1:19" x14ac:dyDescent="0.4">
      <c r="A172">
        <v>168</v>
      </c>
      <c r="N172" t="str">
        <f t="shared" si="6"/>
        <v/>
      </c>
      <c r="O172" s="6"/>
      <c r="S172">
        <v>168</v>
      </c>
    </row>
    <row r="173" spans="1:19" x14ac:dyDescent="0.4">
      <c r="A173">
        <v>169</v>
      </c>
      <c r="N173" t="str">
        <f t="shared" si="6"/>
        <v/>
      </c>
      <c r="O173" s="6"/>
      <c r="S173">
        <v>169</v>
      </c>
    </row>
    <row r="174" spans="1:19" x14ac:dyDescent="0.4">
      <c r="A174">
        <v>170</v>
      </c>
      <c r="N174" t="str">
        <f t="shared" si="6"/>
        <v/>
      </c>
      <c r="O174" s="6"/>
      <c r="S174">
        <v>170</v>
      </c>
    </row>
    <row r="175" spans="1:19" x14ac:dyDescent="0.4">
      <c r="A175">
        <v>171</v>
      </c>
      <c r="N175" t="str">
        <f t="shared" si="6"/>
        <v/>
      </c>
      <c r="O175" s="6"/>
      <c r="S175">
        <v>171</v>
      </c>
    </row>
    <row r="176" spans="1:19" x14ac:dyDescent="0.4">
      <c r="A176">
        <v>172</v>
      </c>
      <c r="N176" t="str">
        <f t="shared" si="6"/>
        <v/>
      </c>
      <c r="O176" s="6"/>
      <c r="S176">
        <v>172</v>
      </c>
    </row>
    <row r="177" spans="1:19" x14ac:dyDescent="0.4">
      <c r="A177">
        <v>173</v>
      </c>
      <c r="N177" t="str">
        <f t="shared" si="6"/>
        <v/>
      </c>
      <c r="O177" s="6"/>
      <c r="S177">
        <v>173</v>
      </c>
    </row>
    <row r="178" spans="1:19" x14ac:dyDescent="0.4">
      <c r="A178">
        <v>174</v>
      </c>
      <c r="N178" t="str">
        <f t="shared" si="6"/>
        <v/>
      </c>
      <c r="O178" s="6"/>
      <c r="S178">
        <v>174</v>
      </c>
    </row>
    <row r="179" spans="1:19" x14ac:dyDescent="0.4">
      <c r="A179">
        <v>175</v>
      </c>
      <c r="N179" t="str">
        <f t="shared" si="6"/>
        <v/>
      </c>
      <c r="O179" s="6"/>
      <c r="S179">
        <v>175</v>
      </c>
    </row>
    <row r="180" spans="1:19" x14ac:dyDescent="0.4">
      <c r="A180">
        <v>176</v>
      </c>
      <c r="N180" t="str">
        <f t="shared" si="6"/>
        <v/>
      </c>
      <c r="O180" s="6"/>
      <c r="S180">
        <v>176</v>
      </c>
    </row>
    <row r="181" spans="1:19" x14ac:dyDescent="0.4">
      <c r="A181">
        <v>177</v>
      </c>
      <c r="N181" t="str">
        <f t="shared" si="6"/>
        <v/>
      </c>
      <c r="O181" s="6"/>
      <c r="S181">
        <v>177</v>
      </c>
    </row>
    <row r="182" spans="1:19" x14ac:dyDescent="0.4">
      <c r="A182">
        <v>178</v>
      </c>
      <c r="N182" t="str">
        <f t="shared" si="6"/>
        <v/>
      </c>
      <c r="O182" s="6"/>
      <c r="S182">
        <v>178</v>
      </c>
    </row>
    <row r="183" spans="1:19" x14ac:dyDescent="0.4">
      <c r="A183">
        <v>179</v>
      </c>
      <c r="N183" t="str">
        <f t="shared" si="6"/>
        <v/>
      </c>
      <c r="O183" s="6"/>
      <c r="S183">
        <v>179</v>
      </c>
    </row>
    <row r="184" spans="1:19" x14ac:dyDescent="0.4">
      <c r="A184">
        <v>180</v>
      </c>
      <c r="N184" t="str">
        <f t="shared" si="6"/>
        <v/>
      </c>
      <c r="O184" s="6"/>
      <c r="S184">
        <v>180</v>
      </c>
    </row>
    <row r="185" spans="1:19" x14ac:dyDescent="0.4">
      <c r="A185">
        <v>181</v>
      </c>
      <c r="N185" t="str">
        <f t="shared" si="6"/>
        <v/>
      </c>
      <c r="O185" s="6"/>
      <c r="S185">
        <v>181</v>
      </c>
    </row>
    <row r="186" spans="1:19" x14ac:dyDescent="0.4">
      <c r="A186">
        <v>182</v>
      </c>
      <c r="N186" t="str">
        <f t="shared" si="6"/>
        <v/>
      </c>
      <c r="O186" s="6"/>
      <c r="S186">
        <v>182</v>
      </c>
    </row>
    <row r="187" spans="1:19" x14ac:dyDescent="0.4">
      <c r="A187">
        <v>183</v>
      </c>
      <c r="N187" t="str">
        <f t="shared" si="6"/>
        <v/>
      </c>
      <c r="O187" s="6"/>
      <c r="S187">
        <v>183</v>
      </c>
    </row>
    <row r="188" spans="1:19" x14ac:dyDescent="0.4">
      <c r="A188">
        <v>184</v>
      </c>
      <c r="N188" t="str">
        <f t="shared" si="6"/>
        <v/>
      </c>
      <c r="O188" s="6"/>
      <c r="S188">
        <v>184</v>
      </c>
    </row>
    <row r="189" spans="1:19" x14ac:dyDescent="0.4">
      <c r="A189">
        <v>185</v>
      </c>
      <c r="N189" t="str">
        <f t="shared" si="6"/>
        <v/>
      </c>
      <c r="O189" s="6"/>
      <c r="S189">
        <v>185</v>
      </c>
    </row>
    <row r="190" spans="1:19" x14ac:dyDescent="0.4">
      <c r="A190">
        <v>186</v>
      </c>
      <c r="N190" t="str">
        <f t="shared" si="6"/>
        <v/>
      </c>
      <c r="O190" s="6"/>
      <c r="S190">
        <v>186</v>
      </c>
    </row>
    <row r="191" spans="1:19" x14ac:dyDescent="0.4">
      <c r="A191">
        <v>187</v>
      </c>
      <c r="N191" t="str">
        <f t="shared" si="6"/>
        <v/>
      </c>
      <c r="O191" s="6"/>
      <c r="S191">
        <v>187</v>
      </c>
    </row>
    <row r="192" spans="1:19" x14ac:dyDescent="0.4">
      <c r="A192">
        <v>188</v>
      </c>
      <c r="N192" t="str">
        <f t="shared" si="6"/>
        <v/>
      </c>
      <c r="O192" s="6"/>
      <c r="S192">
        <v>188</v>
      </c>
    </row>
    <row r="193" spans="1:19" x14ac:dyDescent="0.4">
      <c r="A193">
        <v>189</v>
      </c>
      <c r="N193" t="str">
        <f t="shared" si="6"/>
        <v/>
      </c>
      <c r="O193" s="6"/>
      <c r="S193">
        <v>189</v>
      </c>
    </row>
    <row r="194" spans="1:19" x14ac:dyDescent="0.4">
      <c r="A194">
        <v>190</v>
      </c>
      <c r="N194" t="str">
        <f t="shared" si="6"/>
        <v/>
      </c>
      <c r="O194" s="6"/>
      <c r="S194">
        <v>190</v>
      </c>
    </row>
    <row r="195" spans="1:19" x14ac:dyDescent="0.4">
      <c r="A195">
        <v>191</v>
      </c>
      <c r="N195" t="str">
        <f t="shared" si="6"/>
        <v/>
      </c>
      <c r="O195" s="6"/>
      <c r="S195">
        <v>191</v>
      </c>
    </row>
    <row r="196" spans="1:19" x14ac:dyDescent="0.4">
      <c r="A196">
        <v>192</v>
      </c>
      <c r="N196" t="str">
        <f t="shared" si="6"/>
        <v/>
      </c>
      <c r="O196" s="6"/>
      <c r="S196">
        <v>192</v>
      </c>
    </row>
    <row r="197" spans="1:19" x14ac:dyDescent="0.4">
      <c r="A197">
        <v>193</v>
      </c>
      <c r="N197" t="str">
        <f t="shared" ref="N197:N254" si="7">IFERROR(IF(L197+M197=0,"",L197+M197),"")</f>
        <v/>
      </c>
      <c r="O197" s="6"/>
      <c r="S197">
        <v>193</v>
      </c>
    </row>
    <row r="198" spans="1:19" x14ac:dyDescent="0.4">
      <c r="A198">
        <v>194</v>
      </c>
      <c r="N198" t="str">
        <f t="shared" si="7"/>
        <v/>
      </c>
      <c r="O198" s="6"/>
      <c r="S198">
        <v>194</v>
      </c>
    </row>
    <row r="199" spans="1:19" x14ac:dyDescent="0.4">
      <c r="A199">
        <v>195</v>
      </c>
      <c r="N199" t="str">
        <f t="shared" si="7"/>
        <v/>
      </c>
      <c r="O199" s="6"/>
      <c r="S199">
        <v>195</v>
      </c>
    </row>
    <row r="200" spans="1:19" x14ac:dyDescent="0.4">
      <c r="A200">
        <v>196</v>
      </c>
      <c r="N200" t="str">
        <f t="shared" si="7"/>
        <v/>
      </c>
      <c r="O200" s="6"/>
      <c r="S200">
        <v>196</v>
      </c>
    </row>
    <row r="201" spans="1:19" x14ac:dyDescent="0.4">
      <c r="A201">
        <v>197</v>
      </c>
      <c r="N201" t="str">
        <f t="shared" si="7"/>
        <v/>
      </c>
      <c r="O201" s="6"/>
      <c r="S201">
        <v>197</v>
      </c>
    </row>
    <row r="202" spans="1:19" x14ac:dyDescent="0.4">
      <c r="A202">
        <v>198</v>
      </c>
      <c r="N202" t="str">
        <f t="shared" si="7"/>
        <v/>
      </c>
      <c r="O202" s="6"/>
      <c r="S202">
        <v>198</v>
      </c>
    </row>
    <row r="203" spans="1:19" x14ac:dyDescent="0.4">
      <c r="A203">
        <v>199</v>
      </c>
      <c r="N203" t="str">
        <f t="shared" si="7"/>
        <v/>
      </c>
      <c r="O203" s="6"/>
      <c r="S203">
        <v>199</v>
      </c>
    </row>
    <row r="204" spans="1:19" x14ac:dyDescent="0.4">
      <c r="A204">
        <v>200</v>
      </c>
      <c r="N204" t="str">
        <f t="shared" si="7"/>
        <v/>
      </c>
      <c r="O204" s="6"/>
      <c r="S204">
        <v>200</v>
      </c>
    </row>
    <row r="205" spans="1:19" x14ac:dyDescent="0.4">
      <c r="A205">
        <v>201</v>
      </c>
      <c r="N205" t="str">
        <f t="shared" si="7"/>
        <v/>
      </c>
      <c r="O205" s="6"/>
      <c r="S205">
        <v>201</v>
      </c>
    </row>
    <row r="206" spans="1:19" x14ac:dyDescent="0.4">
      <c r="A206">
        <v>202</v>
      </c>
      <c r="N206" t="str">
        <f t="shared" si="7"/>
        <v/>
      </c>
      <c r="O206" s="6"/>
      <c r="S206">
        <v>202</v>
      </c>
    </row>
    <row r="207" spans="1:19" x14ac:dyDescent="0.4">
      <c r="A207">
        <v>203</v>
      </c>
      <c r="N207" t="str">
        <f t="shared" si="7"/>
        <v/>
      </c>
      <c r="O207" s="6"/>
      <c r="S207">
        <v>203</v>
      </c>
    </row>
    <row r="208" spans="1:19" x14ac:dyDescent="0.4">
      <c r="A208">
        <v>204</v>
      </c>
      <c r="N208" t="str">
        <f t="shared" si="7"/>
        <v/>
      </c>
      <c r="O208" s="6"/>
      <c r="S208">
        <v>204</v>
      </c>
    </row>
    <row r="209" spans="1:19" x14ac:dyDescent="0.4">
      <c r="A209">
        <v>205</v>
      </c>
      <c r="N209" t="str">
        <f t="shared" si="7"/>
        <v/>
      </c>
      <c r="O209" s="6"/>
      <c r="S209">
        <v>205</v>
      </c>
    </row>
    <row r="210" spans="1:19" x14ac:dyDescent="0.4">
      <c r="A210">
        <v>206</v>
      </c>
      <c r="N210" t="str">
        <f t="shared" si="7"/>
        <v/>
      </c>
      <c r="O210" s="6"/>
      <c r="S210">
        <v>206</v>
      </c>
    </row>
    <row r="211" spans="1:19" x14ac:dyDescent="0.4">
      <c r="A211">
        <v>207</v>
      </c>
      <c r="N211" t="str">
        <f t="shared" si="7"/>
        <v/>
      </c>
      <c r="O211" s="6"/>
      <c r="S211">
        <v>207</v>
      </c>
    </row>
    <row r="212" spans="1:19" x14ac:dyDescent="0.4">
      <c r="A212">
        <v>208</v>
      </c>
      <c r="N212" t="str">
        <f t="shared" si="7"/>
        <v/>
      </c>
      <c r="O212" s="6"/>
      <c r="S212">
        <v>208</v>
      </c>
    </row>
    <row r="213" spans="1:19" x14ac:dyDescent="0.4">
      <c r="A213">
        <v>209</v>
      </c>
      <c r="N213" t="str">
        <f t="shared" si="7"/>
        <v/>
      </c>
      <c r="O213" s="6"/>
      <c r="S213">
        <v>209</v>
      </c>
    </row>
    <row r="214" spans="1:19" x14ac:dyDescent="0.4">
      <c r="A214">
        <v>210</v>
      </c>
      <c r="N214" t="str">
        <f t="shared" si="7"/>
        <v/>
      </c>
      <c r="O214" s="6"/>
      <c r="S214">
        <v>210</v>
      </c>
    </row>
    <row r="215" spans="1:19" x14ac:dyDescent="0.4">
      <c r="A215">
        <v>211</v>
      </c>
      <c r="N215" t="str">
        <f t="shared" si="7"/>
        <v/>
      </c>
      <c r="O215" s="6"/>
      <c r="S215">
        <v>211</v>
      </c>
    </row>
    <row r="216" spans="1:19" x14ac:dyDescent="0.4">
      <c r="A216">
        <v>212</v>
      </c>
      <c r="N216" t="str">
        <f t="shared" si="7"/>
        <v/>
      </c>
      <c r="O216" s="6"/>
      <c r="S216">
        <v>212</v>
      </c>
    </row>
    <row r="217" spans="1:19" x14ac:dyDescent="0.4">
      <c r="A217">
        <v>213</v>
      </c>
      <c r="N217" t="str">
        <f t="shared" si="7"/>
        <v/>
      </c>
      <c r="O217" s="6"/>
      <c r="S217">
        <v>213</v>
      </c>
    </row>
    <row r="218" spans="1:19" x14ac:dyDescent="0.4">
      <c r="A218">
        <v>214</v>
      </c>
      <c r="N218" t="str">
        <f t="shared" si="7"/>
        <v/>
      </c>
      <c r="O218" s="6"/>
      <c r="S218">
        <v>214</v>
      </c>
    </row>
    <row r="219" spans="1:19" x14ac:dyDescent="0.4">
      <c r="A219">
        <v>215</v>
      </c>
      <c r="N219" t="str">
        <f t="shared" si="7"/>
        <v/>
      </c>
      <c r="O219" s="6"/>
      <c r="S219">
        <v>215</v>
      </c>
    </row>
    <row r="220" spans="1:19" x14ac:dyDescent="0.4">
      <c r="A220">
        <v>216</v>
      </c>
      <c r="N220" t="str">
        <f t="shared" si="7"/>
        <v/>
      </c>
      <c r="O220" s="6"/>
      <c r="S220">
        <v>216</v>
      </c>
    </row>
    <row r="221" spans="1:19" x14ac:dyDescent="0.4">
      <c r="A221">
        <v>217</v>
      </c>
      <c r="N221" t="str">
        <f t="shared" si="7"/>
        <v/>
      </c>
      <c r="O221" s="6"/>
      <c r="S221">
        <v>217</v>
      </c>
    </row>
    <row r="222" spans="1:19" x14ac:dyDescent="0.4">
      <c r="A222">
        <v>218</v>
      </c>
      <c r="N222" t="str">
        <f t="shared" si="7"/>
        <v/>
      </c>
      <c r="O222" s="6"/>
      <c r="S222">
        <v>218</v>
      </c>
    </row>
    <row r="223" spans="1:19" x14ac:dyDescent="0.4">
      <c r="A223">
        <v>219</v>
      </c>
      <c r="N223" t="str">
        <f t="shared" si="7"/>
        <v/>
      </c>
      <c r="O223" s="6"/>
      <c r="S223">
        <v>219</v>
      </c>
    </row>
    <row r="224" spans="1:19" x14ac:dyDescent="0.4">
      <c r="A224">
        <v>220</v>
      </c>
      <c r="N224" t="str">
        <f t="shared" si="7"/>
        <v/>
      </c>
      <c r="O224" s="6"/>
      <c r="S224">
        <v>220</v>
      </c>
    </row>
    <row r="225" spans="1:19" x14ac:dyDescent="0.4">
      <c r="A225">
        <v>221</v>
      </c>
      <c r="N225" t="str">
        <f t="shared" si="7"/>
        <v/>
      </c>
      <c r="O225" s="6"/>
      <c r="S225">
        <v>221</v>
      </c>
    </row>
    <row r="226" spans="1:19" x14ac:dyDescent="0.4">
      <c r="A226">
        <v>222</v>
      </c>
      <c r="N226" t="str">
        <f t="shared" si="7"/>
        <v/>
      </c>
      <c r="O226" s="6"/>
      <c r="S226">
        <v>222</v>
      </c>
    </row>
    <row r="227" spans="1:19" x14ac:dyDescent="0.4">
      <c r="A227">
        <v>223</v>
      </c>
      <c r="N227" t="str">
        <f t="shared" si="7"/>
        <v/>
      </c>
      <c r="O227" s="6"/>
      <c r="S227">
        <v>223</v>
      </c>
    </row>
    <row r="228" spans="1:19" x14ac:dyDescent="0.4">
      <c r="A228">
        <v>224</v>
      </c>
      <c r="N228" t="str">
        <f t="shared" si="7"/>
        <v/>
      </c>
      <c r="O228" s="6"/>
      <c r="S228">
        <v>224</v>
      </c>
    </row>
    <row r="229" spans="1:19" x14ac:dyDescent="0.4">
      <c r="A229">
        <v>225</v>
      </c>
      <c r="N229" t="str">
        <f t="shared" si="7"/>
        <v/>
      </c>
      <c r="O229" s="6"/>
      <c r="S229">
        <v>225</v>
      </c>
    </row>
    <row r="230" spans="1:19" x14ac:dyDescent="0.4">
      <c r="A230">
        <v>226</v>
      </c>
      <c r="N230" t="str">
        <f t="shared" si="7"/>
        <v/>
      </c>
      <c r="O230" s="6"/>
      <c r="S230">
        <v>226</v>
      </c>
    </row>
    <row r="231" spans="1:19" x14ac:dyDescent="0.4">
      <c r="A231">
        <v>227</v>
      </c>
      <c r="N231" t="str">
        <f t="shared" si="7"/>
        <v/>
      </c>
      <c r="O231" s="6"/>
      <c r="S231">
        <v>227</v>
      </c>
    </row>
    <row r="232" spans="1:19" x14ac:dyDescent="0.4">
      <c r="A232">
        <v>228</v>
      </c>
      <c r="N232" t="str">
        <f t="shared" si="7"/>
        <v/>
      </c>
      <c r="O232" s="6"/>
      <c r="S232">
        <v>228</v>
      </c>
    </row>
    <row r="233" spans="1:19" x14ac:dyDescent="0.4">
      <c r="A233">
        <v>229</v>
      </c>
      <c r="N233" t="str">
        <f t="shared" si="7"/>
        <v/>
      </c>
      <c r="O233" s="6"/>
      <c r="S233">
        <v>229</v>
      </c>
    </row>
    <row r="234" spans="1:19" x14ac:dyDescent="0.4">
      <c r="A234">
        <v>230</v>
      </c>
      <c r="N234" t="str">
        <f t="shared" si="7"/>
        <v/>
      </c>
      <c r="O234" s="6"/>
      <c r="S234">
        <v>230</v>
      </c>
    </row>
    <row r="235" spans="1:19" x14ac:dyDescent="0.4">
      <c r="A235">
        <v>231</v>
      </c>
      <c r="N235" t="str">
        <f t="shared" si="7"/>
        <v/>
      </c>
      <c r="O235" s="6"/>
      <c r="S235">
        <v>231</v>
      </c>
    </row>
    <row r="236" spans="1:19" x14ac:dyDescent="0.4">
      <c r="A236">
        <v>232</v>
      </c>
      <c r="N236" t="str">
        <f t="shared" si="7"/>
        <v/>
      </c>
      <c r="O236" s="6"/>
      <c r="S236">
        <v>232</v>
      </c>
    </row>
    <row r="237" spans="1:19" x14ac:dyDescent="0.4">
      <c r="A237">
        <v>233</v>
      </c>
      <c r="N237" t="str">
        <f t="shared" si="7"/>
        <v/>
      </c>
      <c r="O237" s="6"/>
      <c r="S237">
        <v>233</v>
      </c>
    </row>
    <row r="238" spans="1:19" x14ac:dyDescent="0.4">
      <c r="A238">
        <v>234</v>
      </c>
      <c r="N238" t="str">
        <f t="shared" si="7"/>
        <v/>
      </c>
      <c r="O238" s="6"/>
      <c r="S238">
        <v>234</v>
      </c>
    </row>
    <row r="239" spans="1:19" x14ac:dyDescent="0.4">
      <c r="A239">
        <v>235</v>
      </c>
      <c r="N239" t="str">
        <f t="shared" si="7"/>
        <v/>
      </c>
      <c r="O239" s="6"/>
      <c r="S239">
        <v>235</v>
      </c>
    </row>
    <row r="240" spans="1:19" x14ac:dyDescent="0.4">
      <c r="A240">
        <v>236</v>
      </c>
      <c r="N240" t="str">
        <f t="shared" si="7"/>
        <v/>
      </c>
      <c r="O240" s="6"/>
      <c r="S240">
        <v>236</v>
      </c>
    </row>
    <row r="241" spans="1:19" x14ac:dyDescent="0.4">
      <c r="A241">
        <v>237</v>
      </c>
      <c r="N241" t="str">
        <f t="shared" si="7"/>
        <v/>
      </c>
      <c r="O241" s="6"/>
      <c r="S241">
        <v>237</v>
      </c>
    </row>
    <row r="242" spans="1:19" x14ac:dyDescent="0.4">
      <c r="A242">
        <v>238</v>
      </c>
      <c r="N242" t="str">
        <f t="shared" si="7"/>
        <v/>
      </c>
      <c r="O242" s="6"/>
      <c r="S242">
        <v>238</v>
      </c>
    </row>
    <row r="243" spans="1:19" x14ac:dyDescent="0.4">
      <c r="A243">
        <v>239</v>
      </c>
      <c r="N243" t="str">
        <f t="shared" si="7"/>
        <v/>
      </c>
      <c r="O243" s="6"/>
      <c r="S243">
        <v>239</v>
      </c>
    </row>
    <row r="244" spans="1:19" x14ac:dyDescent="0.4">
      <c r="A244">
        <v>240</v>
      </c>
      <c r="N244" t="str">
        <f t="shared" si="7"/>
        <v/>
      </c>
      <c r="O244" s="6"/>
      <c r="S244">
        <v>240</v>
      </c>
    </row>
    <row r="245" spans="1:19" x14ac:dyDescent="0.4">
      <c r="A245">
        <v>241</v>
      </c>
      <c r="N245" t="str">
        <f t="shared" si="7"/>
        <v/>
      </c>
      <c r="O245" s="6"/>
      <c r="S245">
        <v>241</v>
      </c>
    </row>
    <row r="246" spans="1:19" x14ac:dyDescent="0.4">
      <c r="A246">
        <v>242</v>
      </c>
      <c r="N246" t="str">
        <f t="shared" si="7"/>
        <v/>
      </c>
      <c r="O246" s="6"/>
      <c r="S246">
        <v>242</v>
      </c>
    </row>
    <row r="247" spans="1:19" x14ac:dyDescent="0.4">
      <c r="A247">
        <v>243</v>
      </c>
      <c r="N247" t="str">
        <f t="shared" si="7"/>
        <v/>
      </c>
      <c r="O247" s="6"/>
      <c r="S247">
        <v>243</v>
      </c>
    </row>
    <row r="248" spans="1:19" x14ac:dyDescent="0.4">
      <c r="A248">
        <v>244</v>
      </c>
      <c r="N248" t="str">
        <f t="shared" si="7"/>
        <v/>
      </c>
      <c r="O248" s="6"/>
      <c r="S248">
        <v>244</v>
      </c>
    </row>
    <row r="249" spans="1:19" x14ac:dyDescent="0.4">
      <c r="A249">
        <v>245</v>
      </c>
      <c r="N249" t="str">
        <f t="shared" si="7"/>
        <v/>
      </c>
      <c r="O249" s="6"/>
      <c r="S249">
        <v>245</v>
      </c>
    </row>
    <row r="250" spans="1:19" x14ac:dyDescent="0.4">
      <c r="A250">
        <v>246</v>
      </c>
      <c r="N250" t="str">
        <f t="shared" si="7"/>
        <v/>
      </c>
      <c r="O250" s="6"/>
      <c r="S250">
        <v>246</v>
      </c>
    </row>
    <row r="251" spans="1:19" x14ac:dyDescent="0.4">
      <c r="A251">
        <v>247</v>
      </c>
      <c r="N251" t="str">
        <f t="shared" si="7"/>
        <v/>
      </c>
      <c r="O251" s="6"/>
      <c r="S251">
        <v>247</v>
      </c>
    </row>
    <row r="252" spans="1:19" x14ac:dyDescent="0.4">
      <c r="A252">
        <v>248</v>
      </c>
      <c r="N252" t="str">
        <f t="shared" si="7"/>
        <v/>
      </c>
      <c r="O252" s="6"/>
      <c r="S252">
        <v>248</v>
      </c>
    </row>
    <row r="253" spans="1:19" x14ac:dyDescent="0.4">
      <c r="A253">
        <v>249</v>
      </c>
      <c r="N253" t="str">
        <f t="shared" si="7"/>
        <v/>
      </c>
      <c r="O253" s="6"/>
      <c r="S253">
        <v>249</v>
      </c>
    </row>
    <row r="254" spans="1:19" x14ac:dyDescent="0.4">
      <c r="A254">
        <v>250</v>
      </c>
      <c r="N254" t="str">
        <f t="shared" si="7"/>
        <v/>
      </c>
      <c r="O254" s="6"/>
      <c r="S254">
        <v>250</v>
      </c>
    </row>
    <row r="255" spans="1:19" x14ac:dyDescent="0.4">
      <c r="A255" t="s">
        <v>362</v>
      </c>
      <c r="B255" t="s">
        <v>363</v>
      </c>
      <c r="C255" t="s">
        <v>362</v>
      </c>
      <c r="D255" t="s">
        <v>363</v>
      </c>
      <c r="E255" t="s">
        <v>363</v>
      </c>
      <c r="F255" t="s">
        <v>363</v>
      </c>
      <c r="G255" t="s">
        <v>363</v>
      </c>
      <c r="H255" t="s">
        <v>363</v>
      </c>
      <c r="I255" t="s">
        <v>363</v>
      </c>
      <c r="J255" t="s">
        <v>363</v>
      </c>
      <c r="K255" t="s">
        <v>363</v>
      </c>
      <c r="L255" t="s">
        <v>363</v>
      </c>
      <c r="M255" t="s">
        <v>363</v>
      </c>
      <c r="O255" s="6"/>
    </row>
    <row r="256" spans="1:19" x14ac:dyDescent="0.4">
      <c r="O256" s="6"/>
    </row>
    <row r="257" spans="15:15" x14ac:dyDescent="0.4">
      <c r="O257" s="6"/>
    </row>
    <row r="258" spans="15:15" x14ac:dyDescent="0.4">
      <c r="O258" s="6"/>
    </row>
    <row r="259" spans="15:15" x14ac:dyDescent="0.4">
      <c r="O259" s="6"/>
    </row>
    <row r="260" spans="15:15" x14ac:dyDescent="0.4">
      <c r="O260" s="6"/>
    </row>
    <row r="261" spans="15:15" x14ac:dyDescent="0.4">
      <c r="O261" s="6"/>
    </row>
    <row r="262" spans="15:15" x14ac:dyDescent="0.4">
      <c r="O262" s="6"/>
    </row>
    <row r="263" spans="15:15" x14ac:dyDescent="0.4">
      <c r="O263" s="6"/>
    </row>
    <row r="264" spans="15:15" x14ac:dyDescent="0.4">
      <c r="O264" s="6"/>
    </row>
    <row r="265" spans="15:15" x14ac:dyDescent="0.4">
      <c r="O265" s="6"/>
    </row>
    <row r="266" spans="15:15" x14ac:dyDescent="0.4">
      <c r="O266" s="6"/>
    </row>
    <row r="267" spans="15:15" x14ac:dyDescent="0.4">
      <c r="O267" s="6"/>
    </row>
    <row r="268" spans="15:15" x14ac:dyDescent="0.4">
      <c r="O268" s="6"/>
    </row>
    <row r="269" spans="15:15" x14ac:dyDescent="0.4">
      <c r="O269" s="6"/>
    </row>
    <row r="270" spans="15:15" x14ac:dyDescent="0.4">
      <c r="O270" s="6"/>
    </row>
    <row r="271" spans="15:15" x14ac:dyDescent="0.4">
      <c r="O271" s="6"/>
    </row>
    <row r="272" spans="15:15" x14ac:dyDescent="0.4">
      <c r="O272" s="6"/>
    </row>
    <row r="273" spans="15:15" x14ac:dyDescent="0.4">
      <c r="O273" s="6"/>
    </row>
    <row r="274" spans="15:15" x14ac:dyDescent="0.4">
      <c r="O274" s="6"/>
    </row>
    <row r="275" spans="15:15" x14ac:dyDescent="0.4">
      <c r="O275" s="6"/>
    </row>
    <row r="276" spans="15:15" x14ac:dyDescent="0.4">
      <c r="O276" s="6"/>
    </row>
    <row r="277" spans="15:15" x14ac:dyDescent="0.4">
      <c r="O277" s="6"/>
    </row>
    <row r="278" spans="15:15" x14ac:dyDescent="0.4">
      <c r="O278" s="6"/>
    </row>
    <row r="279" spans="15:15" x14ac:dyDescent="0.4">
      <c r="O279" s="6"/>
    </row>
    <row r="280" spans="15:15" x14ac:dyDescent="0.4">
      <c r="O280" s="6"/>
    </row>
    <row r="281" spans="15:15" x14ac:dyDescent="0.4">
      <c r="O281" s="6"/>
    </row>
    <row r="282" spans="15:15" x14ac:dyDescent="0.4">
      <c r="O282" s="6"/>
    </row>
    <row r="283" spans="15:15" x14ac:dyDescent="0.4">
      <c r="O283" s="6"/>
    </row>
    <row r="284" spans="15:15" x14ac:dyDescent="0.4">
      <c r="O284" s="6"/>
    </row>
    <row r="285" spans="15:15" x14ac:dyDescent="0.4">
      <c r="O285" s="6"/>
    </row>
    <row r="286" spans="15:15" x14ac:dyDescent="0.4">
      <c r="O286" s="6"/>
    </row>
    <row r="287" spans="15:15" x14ac:dyDescent="0.4">
      <c r="O287" s="6"/>
    </row>
    <row r="288" spans="15:15" x14ac:dyDescent="0.4">
      <c r="O288" s="6"/>
    </row>
    <row r="289" spans="15:15" x14ac:dyDescent="0.4">
      <c r="O289" s="6"/>
    </row>
    <row r="290" spans="15:15" x14ac:dyDescent="0.4">
      <c r="O290" s="6"/>
    </row>
    <row r="291" spans="15:15" x14ac:dyDescent="0.4">
      <c r="O291" s="6"/>
    </row>
    <row r="292" spans="15:15" x14ac:dyDescent="0.4">
      <c r="O292" s="6"/>
    </row>
    <row r="293" spans="15:15" x14ac:dyDescent="0.4">
      <c r="O293" s="6"/>
    </row>
    <row r="294" spans="15:15" x14ac:dyDescent="0.4">
      <c r="O294" s="6"/>
    </row>
    <row r="295" spans="15:15" x14ac:dyDescent="0.4">
      <c r="O295" s="6"/>
    </row>
    <row r="296" spans="15:15" x14ac:dyDescent="0.4">
      <c r="O296" s="6"/>
    </row>
    <row r="297" spans="15:15" x14ac:dyDescent="0.4">
      <c r="O297" s="6"/>
    </row>
    <row r="298" spans="15:15" x14ac:dyDescent="0.4">
      <c r="O298" s="6"/>
    </row>
    <row r="299" spans="15:15" x14ac:dyDescent="0.4">
      <c r="O299" s="6"/>
    </row>
    <row r="300" spans="15:15" x14ac:dyDescent="0.4">
      <c r="O300" s="6"/>
    </row>
    <row r="301" spans="15:15" x14ac:dyDescent="0.4">
      <c r="O301" s="6"/>
    </row>
    <row r="302" spans="15:15" x14ac:dyDescent="0.4">
      <c r="O302" s="6"/>
    </row>
    <row r="303" spans="15:15" x14ac:dyDescent="0.4">
      <c r="O303" s="6"/>
    </row>
    <row r="304" spans="15:15" x14ac:dyDescent="0.4">
      <c r="O304" s="6"/>
    </row>
    <row r="305" spans="15:15" x14ac:dyDescent="0.4">
      <c r="O305" s="6"/>
    </row>
    <row r="306" spans="15:15" x14ac:dyDescent="0.4">
      <c r="O306" s="6"/>
    </row>
    <row r="307" spans="15:15" x14ac:dyDescent="0.4">
      <c r="O307" s="6"/>
    </row>
    <row r="308" spans="15:15" x14ac:dyDescent="0.4">
      <c r="O308" s="6"/>
    </row>
    <row r="309" spans="15:15" x14ac:dyDescent="0.4">
      <c r="O309" s="6"/>
    </row>
    <row r="310" spans="15:15" x14ac:dyDescent="0.4">
      <c r="O310" s="6"/>
    </row>
    <row r="311" spans="15:15" x14ac:dyDescent="0.4">
      <c r="O311" s="6"/>
    </row>
    <row r="312" spans="15:15" x14ac:dyDescent="0.4">
      <c r="O312" s="6"/>
    </row>
    <row r="313" spans="15:15" x14ac:dyDescent="0.4">
      <c r="O313" s="6"/>
    </row>
    <row r="314" spans="15:15" x14ac:dyDescent="0.4">
      <c r="O314" s="6"/>
    </row>
    <row r="315" spans="15:15" x14ac:dyDescent="0.4">
      <c r="O315" s="6"/>
    </row>
    <row r="316" spans="15:15" x14ac:dyDescent="0.4">
      <c r="O316" s="6"/>
    </row>
    <row r="317" spans="15:15" x14ac:dyDescent="0.4">
      <c r="O317" s="6"/>
    </row>
    <row r="318" spans="15:15" x14ac:dyDescent="0.4">
      <c r="O318" s="6"/>
    </row>
    <row r="319" spans="15:15" x14ac:dyDescent="0.4">
      <c r="O319" s="6"/>
    </row>
    <row r="320" spans="15:15" x14ac:dyDescent="0.4">
      <c r="O320" s="6"/>
    </row>
    <row r="321" spans="15:15" x14ac:dyDescent="0.4">
      <c r="O321" s="6"/>
    </row>
    <row r="322" spans="15:15" x14ac:dyDescent="0.4">
      <c r="O322" s="6"/>
    </row>
    <row r="323" spans="15:15" x14ac:dyDescent="0.4">
      <c r="O323" s="6"/>
    </row>
    <row r="324" spans="15:15" x14ac:dyDescent="0.4">
      <c r="O324" s="6"/>
    </row>
    <row r="325" spans="15:15" x14ac:dyDescent="0.4">
      <c r="O325" s="6"/>
    </row>
    <row r="326" spans="15:15" x14ac:dyDescent="0.4">
      <c r="O326" s="6"/>
    </row>
    <row r="327" spans="15:15" x14ac:dyDescent="0.4">
      <c r="O327" s="6"/>
    </row>
    <row r="328" spans="15:15" x14ac:dyDescent="0.4">
      <c r="O328" s="6"/>
    </row>
    <row r="329" spans="15:15" x14ac:dyDescent="0.4">
      <c r="O329" s="6"/>
    </row>
    <row r="330" spans="15:15" x14ac:dyDescent="0.4">
      <c r="O330" s="6"/>
    </row>
    <row r="331" spans="15:15" x14ac:dyDescent="0.4">
      <c r="O331" s="6"/>
    </row>
    <row r="332" spans="15:15" x14ac:dyDescent="0.4">
      <c r="O332" s="6"/>
    </row>
    <row r="333" spans="15:15" x14ac:dyDescent="0.4">
      <c r="O333" s="6"/>
    </row>
    <row r="334" spans="15:15" x14ac:dyDescent="0.4">
      <c r="O334" s="6"/>
    </row>
    <row r="335" spans="15:15" x14ac:dyDescent="0.4">
      <c r="O335" s="6"/>
    </row>
    <row r="336" spans="15:15" x14ac:dyDescent="0.4">
      <c r="O336" s="6"/>
    </row>
    <row r="337" spans="15:15" x14ac:dyDescent="0.4">
      <c r="O337" s="6"/>
    </row>
    <row r="338" spans="15:15" x14ac:dyDescent="0.4">
      <c r="O338" s="6"/>
    </row>
    <row r="339" spans="15:15" x14ac:dyDescent="0.4">
      <c r="O339" s="6"/>
    </row>
    <row r="340" spans="15:15" x14ac:dyDescent="0.4">
      <c r="O340" s="6"/>
    </row>
    <row r="341" spans="15:15" x14ac:dyDescent="0.4">
      <c r="O341" s="6"/>
    </row>
    <row r="342" spans="15:15" x14ac:dyDescent="0.4">
      <c r="O342" s="6"/>
    </row>
    <row r="343" spans="15:15" x14ac:dyDescent="0.4">
      <c r="O343" s="6"/>
    </row>
    <row r="344" spans="15:15" x14ac:dyDescent="0.4">
      <c r="O344" s="6"/>
    </row>
    <row r="345" spans="15:15" x14ac:dyDescent="0.4">
      <c r="O345" s="6"/>
    </row>
    <row r="346" spans="15:15" x14ac:dyDescent="0.4">
      <c r="O346" s="6"/>
    </row>
    <row r="347" spans="15:15" x14ac:dyDescent="0.4">
      <c r="O347" s="6"/>
    </row>
    <row r="348" spans="15:15" x14ac:dyDescent="0.4">
      <c r="O348" s="6"/>
    </row>
    <row r="349" spans="15:15" x14ac:dyDescent="0.4">
      <c r="O349" s="6"/>
    </row>
    <row r="350" spans="15:15" x14ac:dyDescent="0.4">
      <c r="O350" s="6"/>
    </row>
    <row r="351" spans="15:15" x14ac:dyDescent="0.4">
      <c r="O351" s="6"/>
    </row>
    <row r="352" spans="15:15" x14ac:dyDescent="0.4">
      <c r="O352" s="6"/>
    </row>
    <row r="353" spans="15:15" x14ac:dyDescent="0.4">
      <c r="O353" s="6"/>
    </row>
    <row r="354" spans="15:15" x14ac:dyDescent="0.4">
      <c r="O354" s="6"/>
    </row>
    <row r="355" spans="15:15" x14ac:dyDescent="0.4">
      <c r="O355" s="6"/>
    </row>
    <row r="356" spans="15:15" x14ac:dyDescent="0.4">
      <c r="O356" s="6"/>
    </row>
    <row r="357" spans="15:15" x14ac:dyDescent="0.4">
      <c r="O357" s="6"/>
    </row>
    <row r="358" spans="15:15" x14ac:dyDescent="0.4">
      <c r="O358" s="6"/>
    </row>
    <row r="359" spans="15:15" x14ac:dyDescent="0.4">
      <c r="O359" s="6"/>
    </row>
    <row r="360" spans="15:15" x14ac:dyDescent="0.4">
      <c r="O360" s="6"/>
    </row>
    <row r="361" spans="15:15" x14ac:dyDescent="0.4">
      <c r="O361" s="6"/>
    </row>
    <row r="362" spans="15:15" x14ac:dyDescent="0.4">
      <c r="O362" s="6"/>
    </row>
    <row r="363" spans="15:15" x14ac:dyDescent="0.4">
      <c r="O363" s="6"/>
    </row>
    <row r="364" spans="15:15" x14ac:dyDescent="0.4">
      <c r="O364" s="6"/>
    </row>
    <row r="365" spans="15:15" x14ac:dyDescent="0.4">
      <c r="O365" s="6"/>
    </row>
    <row r="366" spans="15:15" x14ac:dyDescent="0.4">
      <c r="O366" s="6"/>
    </row>
    <row r="367" spans="15:15" x14ac:dyDescent="0.4">
      <c r="O367" s="6"/>
    </row>
    <row r="368" spans="15:15" x14ac:dyDescent="0.4">
      <c r="O368" s="6"/>
    </row>
    <row r="369" spans="15:15" x14ac:dyDescent="0.4">
      <c r="O369" s="6"/>
    </row>
    <row r="370" spans="15:15" x14ac:dyDescent="0.4">
      <c r="O370" s="6"/>
    </row>
    <row r="371" spans="15:15" x14ac:dyDescent="0.4">
      <c r="O371" s="6"/>
    </row>
    <row r="372" spans="15:15" x14ac:dyDescent="0.4">
      <c r="O372" s="6"/>
    </row>
    <row r="373" spans="15:15" x14ac:dyDescent="0.4">
      <c r="O373" s="6"/>
    </row>
    <row r="374" spans="15:15" x14ac:dyDescent="0.4">
      <c r="O374" s="6"/>
    </row>
    <row r="375" spans="15:15" x14ac:dyDescent="0.4">
      <c r="O375" s="6"/>
    </row>
    <row r="376" spans="15:15" x14ac:dyDescent="0.4">
      <c r="O376" s="6"/>
    </row>
    <row r="377" spans="15:15" x14ac:dyDescent="0.4">
      <c r="O377" s="6"/>
    </row>
    <row r="378" spans="15:15" x14ac:dyDescent="0.4">
      <c r="O378" s="6"/>
    </row>
    <row r="379" spans="15:15" x14ac:dyDescent="0.4">
      <c r="O379" s="6"/>
    </row>
    <row r="380" spans="15:15" x14ac:dyDescent="0.4">
      <c r="O380" s="6"/>
    </row>
    <row r="381" spans="15:15" x14ac:dyDescent="0.4">
      <c r="O381" s="6"/>
    </row>
    <row r="382" spans="15:15" x14ac:dyDescent="0.4">
      <c r="O382" s="6"/>
    </row>
    <row r="383" spans="15:15" x14ac:dyDescent="0.4">
      <c r="O383" s="6"/>
    </row>
    <row r="384" spans="15:15" x14ac:dyDescent="0.4">
      <c r="O384" s="6"/>
    </row>
    <row r="385" spans="15:15" x14ac:dyDescent="0.4">
      <c r="O385" s="6"/>
    </row>
    <row r="386" spans="15:15" x14ac:dyDescent="0.4">
      <c r="O386" s="6"/>
    </row>
    <row r="387" spans="15:15" x14ac:dyDescent="0.4">
      <c r="O387" s="6"/>
    </row>
    <row r="388" spans="15:15" x14ac:dyDescent="0.4">
      <c r="O388" s="6"/>
    </row>
    <row r="389" spans="15:15" x14ac:dyDescent="0.4">
      <c r="O389" s="6"/>
    </row>
    <row r="390" spans="15:15" x14ac:dyDescent="0.4">
      <c r="O390" s="6"/>
    </row>
    <row r="391" spans="15:15" x14ac:dyDescent="0.4">
      <c r="O391" s="6"/>
    </row>
    <row r="392" spans="15:15" x14ac:dyDescent="0.4">
      <c r="O392" s="6"/>
    </row>
    <row r="393" spans="15:15" x14ac:dyDescent="0.4">
      <c r="O393" s="6"/>
    </row>
    <row r="394" spans="15:15" x14ac:dyDescent="0.4">
      <c r="O394" s="6"/>
    </row>
    <row r="395" spans="15:15" x14ac:dyDescent="0.4">
      <c r="O395" s="6"/>
    </row>
    <row r="396" spans="15:15" x14ac:dyDescent="0.4">
      <c r="O396" s="6"/>
    </row>
    <row r="397" spans="15:15" x14ac:dyDescent="0.4">
      <c r="O397" s="6"/>
    </row>
    <row r="398" spans="15:15" x14ac:dyDescent="0.4">
      <c r="O398" s="6"/>
    </row>
    <row r="399" spans="15:15" x14ac:dyDescent="0.4">
      <c r="O399" s="6"/>
    </row>
    <row r="400" spans="15:15" x14ac:dyDescent="0.4">
      <c r="O400" s="6"/>
    </row>
    <row r="401" spans="15:15" x14ac:dyDescent="0.4">
      <c r="O401" s="6"/>
    </row>
    <row r="402" spans="15:15" x14ac:dyDescent="0.4">
      <c r="O402" s="6"/>
    </row>
    <row r="403" spans="15:15" x14ac:dyDescent="0.4">
      <c r="O403" s="6"/>
    </row>
    <row r="404" spans="15:15" x14ac:dyDescent="0.4">
      <c r="O404" s="6"/>
    </row>
    <row r="405" spans="15:15" x14ac:dyDescent="0.4">
      <c r="O405" s="6"/>
    </row>
    <row r="406" spans="15:15" x14ac:dyDescent="0.4">
      <c r="O406" s="6"/>
    </row>
    <row r="407" spans="15:15" x14ac:dyDescent="0.4">
      <c r="O407" s="6"/>
    </row>
    <row r="408" spans="15:15" x14ac:dyDescent="0.4">
      <c r="O408" s="6"/>
    </row>
    <row r="409" spans="15:15" x14ac:dyDescent="0.4">
      <c r="O409" s="6"/>
    </row>
    <row r="410" spans="15:15" x14ac:dyDescent="0.4">
      <c r="O410" s="6"/>
    </row>
    <row r="411" spans="15:15" x14ac:dyDescent="0.4">
      <c r="O411" s="6"/>
    </row>
    <row r="412" spans="15:15" x14ac:dyDescent="0.4">
      <c r="O412" s="6"/>
    </row>
    <row r="413" spans="15:15" x14ac:dyDescent="0.4">
      <c r="O413" s="6"/>
    </row>
    <row r="414" spans="15:15" x14ac:dyDescent="0.4">
      <c r="O414" s="6"/>
    </row>
    <row r="415" spans="15:15" x14ac:dyDescent="0.4">
      <c r="O415" s="6"/>
    </row>
    <row r="416" spans="15:15" x14ac:dyDescent="0.4">
      <c r="O416" s="6"/>
    </row>
    <row r="417" spans="15:15" x14ac:dyDescent="0.4">
      <c r="O417" s="6"/>
    </row>
    <row r="418" spans="15:15" x14ac:dyDescent="0.4">
      <c r="O418" s="6"/>
    </row>
    <row r="419" spans="15:15" x14ac:dyDescent="0.4">
      <c r="O419" s="6"/>
    </row>
    <row r="420" spans="15:15" x14ac:dyDescent="0.4">
      <c r="O420" s="6"/>
    </row>
    <row r="421" spans="15:15" x14ac:dyDescent="0.4">
      <c r="O421" s="6"/>
    </row>
    <row r="422" spans="15:15" x14ac:dyDescent="0.4">
      <c r="O422" s="6"/>
    </row>
    <row r="423" spans="15:15" x14ac:dyDescent="0.4">
      <c r="O423" s="6"/>
    </row>
    <row r="424" spans="15:15" x14ac:dyDescent="0.4">
      <c r="O424" s="6"/>
    </row>
    <row r="425" spans="15:15" x14ac:dyDescent="0.4">
      <c r="O425" s="6"/>
    </row>
    <row r="426" spans="15:15" x14ac:dyDescent="0.4">
      <c r="O426" s="6"/>
    </row>
    <row r="427" spans="15:15" x14ac:dyDescent="0.4">
      <c r="O427" s="6"/>
    </row>
    <row r="428" spans="15:15" x14ac:dyDescent="0.4">
      <c r="O428" s="6"/>
    </row>
    <row r="429" spans="15:15" x14ac:dyDescent="0.4">
      <c r="O429" s="6"/>
    </row>
    <row r="430" spans="15:15" x14ac:dyDescent="0.4">
      <c r="O430" s="6"/>
    </row>
    <row r="431" spans="15:15" x14ac:dyDescent="0.4">
      <c r="O431" s="6"/>
    </row>
    <row r="432" spans="15:15" x14ac:dyDescent="0.4">
      <c r="O432" s="6"/>
    </row>
    <row r="433" spans="15:15" x14ac:dyDescent="0.4">
      <c r="O433" s="6"/>
    </row>
    <row r="434" spans="15:15" x14ac:dyDescent="0.4">
      <c r="O434" s="6"/>
    </row>
    <row r="435" spans="15:15" x14ac:dyDescent="0.4">
      <c r="O435" s="6"/>
    </row>
    <row r="436" spans="15:15" x14ac:dyDescent="0.4">
      <c r="O436" s="6"/>
    </row>
    <row r="437" spans="15:15" x14ac:dyDescent="0.4">
      <c r="O437" s="6"/>
    </row>
    <row r="438" spans="15:15" x14ac:dyDescent="0.4">
      <c r="O438" s="6"/>
    </row>
    <row r="439" spans="15:15" x14ac:dyDescent="0.4">
      <c r="O439" s="6"/>
    </row>
    <row r="440" spans="15:15" x14ac:dyDescent="0.4">
      <c r="O440" s="6"/>
    </row>
    <row r="441" spans="15:15" x14ac:dyDescent="0.4">
      <c r="O441" s="6"/>
    </row>
    <row r="442" spans="15:15" x14ac:dyDescent="0.4">
      <c r="O442" s="6"/>
    </row>
    <row r="443" spans="15:15" x14ac:dyDescent="0.4">
      <c r="O443" s="6"/>
    </row>
    <row r="444" spans="15:15" x14ac:dyDescent="0.4">
      <c r="O444" s="6"/>
    </row>
    <row r="445" spans="15:15" x14ac:dyDescent="0.4">
      <c r="O445" s="6"/>
    </row>
    <row r="446" spans="15:15" x14ac:dyDescent="0.4">
      <c r="O446" s="6"/>
    </row>
    <row r="447" spans="15:15" x14ac:dyDescent="0.4">
      <c r="O447" s="6"/>
    </row>
    <row r="448" spans="15:15" x14ac:dyDescent="0.4">
      <c r="O448" s="6"/>
    </row>
    <row r="449" spans="15:15" x14ac:dyDescent="0.4">
      <c r="O449" s="6"/>
    </row>
    <row r="450" spans="15:15" x14ac:dyDescent="0.4">
      <c r="O450" s="6"/>
    </row>
    <row r="451" spans="15:15" x14ac:dyDescent="0.4">
      <c r="O451" s="6"/>
    </row>
    <row r="452" spans="15:15" x14ac:dyDescent="0.4">
      <c r="O452" s="6"/>
    </row>
    <row r="453" spans="15:15" x14ac:dyDescent="0.4">
      <c r="O453" s="6"/>
    </row>
    <row r="454" spans="15:15" x14ac:dyDescent="0.4">
      <c r="O454" s="6"/>
    </row>
    <row r="455" spans="15:15" x14ac:dyDescent="0.4">
      <c r="O455" s="6"/>
    </row>
    <row r="456" spans="15:15" x14ac:dyDescent="0.4">
      <c r="O456" s="6"/>
    </row>
    <row r="457" spans="15:15" x14ac:dyDescent="0.4">
      <c r="O457" s="6"/>
    </row>
    <row r="458" spans="15:15" x14ac:dyDescent="0.4">
      <c r="O458" s="6"/>
    </row>
    <row r="459" spans="15:15" x14ac:dyDescent="0.4">
      <c r="O459" s="6"/>
    </row>
    <row r="460" spans="15:15" x14ac:dyDescent="0.4">
      <c r="O460" s="6"/>
    </row>
    <row r="461" spans="15:15" x14ac:dyDescent="0.4">
      <c r="O461" s="6"/>
    </row>
    <row r="462" spans="15:15" x14ac:dyDescent="0.4">
      <c r="O462" s="6"/>
    </row>
    <row r="463" spans="15:15" x14ac:dyDescent="0.4">
      <c r="O463" s="6"/>
    </row>
    <row r="464" spans="15:15" x14ac:dyDescent="0.4">
      <c r="O464" s="6"/>
    </row>
    <row r="465" spans="15:15" x14ac:dyDescent="0.4">
      <c r="O465" s="6"/>
    </row>
    <row r="466" spans="15:15" x14ac:dyDescent="0.4">
      <c r="O466" s="6"/>
    </row>
    <row r="467" spans="15:15" x14ac:dyDescent="0.4">
      <c r="O467" s="6"/>
    </row>
    <row r="468" spans="15:15" x14ac:dyDescent="0.4">
      <c r="O468" s="6"/>
    </row>
    <row r="469" spans="15:15" x14ac:dyDescent="0.4">
      <c r="O469" s="6"/>
    </row>
    <row r="470" spans="15:15" x14ac:dyDescent="0.4">
      <c r="O470" s="6"/>
    </row>
    <row r="471" spans="15:15" x14ac:dyDescent="0.4">
      <c r="O471" s="6"/>
    </row>
    <row r="472" spans="15:15" x14ac:dyDescent="0.4">
      <c r="O472" s="6"/>
    </row>
    <row r="473" spans="15:15" x14ac:dyDescent="0.4">
      <c r="O473" s="6"/>
    </row>
    <row r="474" spans="15:15" x14ac:dyDescent="0.4">
      <c r="O474" s="6"/>
    </row>
    <row r="475" spans="15:15" x14ac:dyDescent="0.4">
      <c r="O475" s="6"/>
    </row>
    <row r="476" spans="15:15" x14ac:dyDescent="0.4">
      <c r="O476" s="6"/>
    </row>
    <row r="477" spans="15:15" x14ac:dyDescent="0.4">
      <c r="O477" s="6"/>
    </row>
    <row r="478" spans="15:15" x14ac:dyDescent="0.4">
      <c r="O478" s="6"/>
    </row>
    <row r="479" spans="15:15" x14ac:dyDescent="0.4">
      <c r="O479" s="6"/>
    </row>
    <row r="480" spans="15:15" x14ac:dyDescent="0.4">
      <c r="O480" s="6"/>
    </row>
    <row r="481" spans="15:15" x14ac:dyDescent="0.4">
      <c r="O481" s="6"/>
    </row>
    <row r="482" spans="15:15" x14ac:dyDescent="0.4">
      <c r="O482" s="6"/>
    </row>
    <row r="483" spans="15:15" x14ac:dyDescent="0.4">
      <c r="O483" s="6"/>
    </row>
    <row r="484" spans="15:15" x14ac:dyDescent="0.4">
      <c r="O484" s="6"/>
    </row>
    <row r="485" spans="15:15" x14ac:dyDescent="0.4">
      <c r="O485" s="6"/>
    </row>
    <row r="486" spans="15:15" x14ac:dyDescent="0.4">
      <c r="O486" s="6"/>
    </row>
    <row r="487" spans="15:15" x14ac:dyDescent="0.4">
      <c r="O487" s="6"/>
    </row>
    <row r="488" spans="15:15" x14ac:dyDescent="0.4">
      <c r="O488" s="6"/>
    </row>
    <row r="489" spans="15:15" x14ac:dyDescent="0.4">
      <c r="O489" s="6"/>
    </row>
    <row r="490" spans="15:15" x14ac:dyDescent="0.4">
      <c r="O490" s="6"/>
    </row>
    <row r="491" spans="15:15" x14ac:dyDescent="0.4">
      <c r="O491" s="6"/>
    </row>
    <row r="492" spans="15:15" x14ac:dyDescent="0.4">
      <c r="O492" s="6"/>
    </row>
    <row r="493" spans="15:15" x14ac:dyDescent="0.4">
      <c r="O493" s="6"/>
    </row>
    <row r="494" spans="15:15" x14ac:dyDescent="0.4">
      <c r="O494" s="6"/>
    </row>
    <row r="495" spans="15:15" x14ac:dyDescent="0.4">
      <c r="O495" s="6"/>
    </row>
    <row r="496" spans="15:15" x14ac:dyDescent="0.4">
      <c r="O496" s="6"/>
    </row>
    <row r="497" spans="15:15" x14ac:dyDescent="0.4">
      <c r="O497" s="6"/>
    </row>
    <row r="498" spans="15:15" x14ac:dyDescent="0.4">
      <c r="O498" s="6"/>
    </row>
    <row r="499" spans="15:15" x14ac:dyDescent="0.4">
      <c r="O499" s="6"/>
    </row>
    <row r="500" spans="15:15" x14ac:dyDescent="0.4">
      <c r="O500" s="6"/>
    </row>
    <row r="501" spans="15:15" x14ac:dyDescent="0.4">
      <c r="O501" s="6"/>
    </row>
    <row r="502" spans="15:15" x14ac:dyDescent="0.4">
      <c r="O502" s="6"/>
    </row>
    <row r="503" spans="15:15" x14ac:dyDescent="0.4">
      <c r="O503" s="6"/>
    </row>
    <row r="504" spans="15:15" x14ac:dyDescent="0.4">
      <c r="O504" s="6"/>
    </row>
    <row r="505" spans="15:15" x14ac:dyDescent="0.4">
      <c r="O505" s="6"/>
    </row>
    <row r="506" spans="15:15" x14ac:dyDescent="0.4">
      <c r="O506" s="6"/>
    </row>
    <row r="507" spans="15:15" x14ac:dyDescent="0.4">
      <c r="O507" s="6"/>
    </row>
    <row r="508" spans="15:15" x14ac:dyDescent="0.4">
      <c r="O508" s="6"/>
    </row>
    <row r="509" spans="15:15" x14ac:dyDescent="0.4">
      <c r="O509" s="6"/>
    </row>
    <row r="510" spans="15:15" x14ac:dyDescent="0.4">
      <c r="O510" s="6"/>
    </row>
    <row r="511" spans="15:15" x14ac:dyDescent="0.4">
      <c r="O511" s="6"/>
    </row>
    <row r="512" spans="15:15" x14ac:dyDescent="0.4">
      <c r="O512" s="6"/>
    </row>
    <row r="513" spans="15:15" x14ac:dyDescent="0.4">
      <c r="O513" s="6"/>
    </row>
    <row r="514" spans="15:15" x14ac:dyDescent="0.4">
      <c r="O514" s="6"/>
    </row>
    <row r="515" spans="15:15" x14ac:dyDescent="0.4">
      <c r="O515" s="6"/>
    </row>
    <row r="516" spans="15:15" x14ac:dyDescent="0.4">
      <c r="O516" s="6"/>
    </row>
    <row r="517" spans="15:15" x14ac:dyDescent="0.4">
      <c r="O517" s="6"/>
    </row>
    <row r="518" spans="15:15" x14ac:dyDescent="0.4">
      <c r="O518" s="6"/>
    </row>
    <row r="519" spans="15:15" x14ac:dyDescent="0.4">
      <c r="O519" s="6"/>
    </row>
    <row r="520" spans="15:15" x14ac:dyDescent="0.4">
      <c r="O520" s="6"/>
    </row>
    <row r="521" spans="15:15" x14ac:dyDescent="0.4">
      <c r="O521" s="6"/>
    </row>
    <row r="522" spans="15:15" x14ac:dyDescent="0.4">
      <c r="O522" s="6"/>
    </row>
    <row r="523" spans="15:15" x14ac:dyDescent="0.4">
      <c r="O523" s="6"/>
    </row>
    <row r="524" spans="15:15" x14ac:dyDescent="0.4">
      <c r="O524" s="6"/>
    </row>
    <row r="525" spans="15:15" x14ac:dyDescent="0.4">
      <c r="O525" s="6"/>
    </row>
    <row r="526" spans="15:15" x14ac:dyDescent="0.4">
      <c r="O526" s="6"/>
    </row>
    <row r="527" spans="15:15" x14ac:dyDescent="0.4">
      <c r="O527" s="6"/>
    </row>
    <row r="528" spans="15:15" x14ac:dyDescent="0.4">
      <c r="O528" s="6"/>
    </row>
    <row r="529" spans="15:15" x14ac:dyDescent="0.4">
      <c r="O529" s="6"/>
    </row>
    <row r="530" spans="15:15" x14ac:dyDescent="0.4">
      <c r="O530" s="6"/>
    </row>
    <row r="531" spans="15:15" x14ac:dyDescent="0.4">
      <c r="O531" s="6"/>
    </row>
    <row r="532" spans="15:15" x14ac:dyDescent="0.4">
      <c r="O532" s="6"/>
    </row>
    <row r="533" spans="15:15" x14ac:dyDescent="0.4">
      <c r="O533" s="6"/>
    </row>
    <row r="534" spans="15:15" x14ac:dyDescent="0.4">
      <c r="O534" s="6"/>
    </row>
    <row r="535" spans="15:15" x14ac:dyDescent="0.4">
      <c r="O535" s="6"/>
    </row>
    <row r="536" spans="15:15" x14ac:dyDescent="0.4">
      <c r="O536" s="6"/>
    </row>
    <row r="537" spans="15:15" x14ac:dyDescent="0.4">
      <c r="O537" s="6"/>
    </row>
    <row r="538" spans="15:15" x14ac:dyDescent="0.4">
      <c r="O538" s="6"/>
    </row>
    <row r="539" spans="15:15" x14ac:dyDescent="0.4">
      <c r="O539" s="6"/>
    </row>
    <row r="540" spans="15:15" x14ac:dyDescent="0.4">
      <c r="O540" s="6"/>
    </row>
    <row r="541" spans="15:15" x14ac:dyDescent="0.4">
      <c r="O541" s="6"/>
    </row>
    <row r="542" spans="15:15" x14ac:dyDescent="0.4">
      <c r="O542" s="6"/>
    </row>
    <row r="543" spans="15:15" x14ac:dyDescent="0.4">
      <c r="O543" s="6"/>
    </row>
    <row r="544" spans="15:15" x14ac:dyDescent="0.4">
      <c r="O544" s="6"/>
    </row>
    <row r="545" spans="15:15" x14ac:dyDescent="0.4">
      <c r="O545" s="6"/>
    </row>
    <row r="546" spans="15:15" x14ac:dyDescent="0.4">
      <c r="O546" s="6"/>
    </row>
    <row r="547" spans="15:15" x14ac:dyDescent="0.4">
      <c r="O547" s="6"/>
    </row>
    <row r="548" spans="15:15" x14ac:dyDescent="0.4">
      <c r="O548" s="6"/>
    </row>
    <row r="549" spans="15:15" x14ac:dyDescent="0.4">
      <c r="O549" s="6"/>
    </row>
    <row r="550" spans="15:15" x14ac:dyDescent="0.4">
      <c r="O550" s="6"/>
    </row>
    <row r="551" spans="15:15" x14ac:dyDescent="0.4">
      <c r="O551" s="6"/>
    </row>
    <row r="552" spans="15:15" x14ac:dyDescent="0.4">
      <c r="O552" s="6"/>
    </row>
    <row r="553" spans="15:15" x14ac:dyDescent="0.4">
      <c r="O553" s="6"/>
    </row>
    <row r="554" spans="15:15" x14ac:dyDescent="0.4">
      <c r="O554" s="6"/>
    </row>
    <row r="555" spans="15:15" x14ac:dyDescent="0.4">
      <c r="O555" s="6"/>
    </row>
    <row r="556" spans="15:15" x14ac:dyDescent="0.4">
      <c r="O556" s="6"/>
    </row>
    <row r="557" spans="15:15" x14ac:dyDescent="0.4">
      <c r="O557" s="6"/>
    </row>
    <row r="558" spans="15:15" x14ac:dyDescent="0.4">
      <c r="O558" s="6"/>
    </row>
    <row r="559" spans="15:15" x14ac:dyDescent="0.4">
      <c r="O559" s="6"/>
    </row>
    <row r="560" spans="15:15" x14ac:dyDescent="0.4">
      <c r="O560" s="6"/>
    </row>
    <row r="561" spans="15:15" x14ac:dyDescent="0.4">
      <c r="O561" s="6"/>
    </row>
    <row r="562" spans="15:15" x14ac:dyDescent="0.4">
      <c r="O562" s="6"/>
    </row>
    <row r="563" spans="15:15" x14ac:dyDescent="0.4">
      <c r="O563" s="6"/>
    </row>
    <row r="564" spans="15:15" x14ac:dyDescent="0.4">
      <c r="O564" s="6"/>
    </row>
    <row r="565" spans="15:15" x14ac:dyDescent="0.4">
      <c r="O565" s="6"/>
    </row>
    <row r="566" spans="15:15" x14ac:dyDescent="0.4">
      <c r="O566" s="6"/>
    </row>
    <row r="567" spans="15:15" x14ac:dyDescent="0.4">
      <c r="O567" s="6"/>
    </row>
    <row r="568" spans="15:15" x14ac:dyDescent="0.4">
      <c r="O568" s="6"/>
    </row>
    <row r="569" spans="15:15" x14ac:dyDescent="0.4">
      <c r="O569" s="6"/>
    </row>
    <row r="570" spans="15:15" x14ac:dyDescent="0.4">
      <c r="O570" s="6"/>
    </row>
    <row r="571" spans="15:15" x14ac:dyDescent="0.4">
      <c r="O571" s="6"/>
    </row>
    <row r="572" spans="15:15" x14ac:dyDescent="0.4">
      <c r="O572" s="6"/>
    </row>
    <row r="573" spans="15:15" x14ac:dyDescent="0.4">
      <c r="O573" s="6"/>
    </row>
    <row r="574" spans="15:15" x14ac:dyDescent="0.4">
      <c r="O574" s="6"/>
    </row>
    <row r="575" spans="15:15" x14ac:dyDescent="0.4">
      <c r="O575" s="6"/>
    </row>
    <row r="576" spans="15:15" x14ac:dyDescent="0.4">
      <c r="O576" s="6"/>
    </row>
    <row r="577" spans="15:15" x14ac:dyDescent="0.4">
      <c r="O577" s="6"/>
    </row>
    <row r="578" spans="15:15" x14ac:dyDescent="0.4">
      <c r="O578" s="6"/>
    </row>
    <row r="579" spans="15:15" x14ac:dyDescent="0.4">
      <c r="O579" s="6"/>
    </row>
    <row r="580" spans="15:15" x14ac:dyDescent="0.4">
      <c r="O580" s="6"/>
    </row>
    <row r="581" spans="15:15" x14ac:dyDescent="0.4">
      <c r="O581" s="6"/>
    </row>
    <row r="582" spans="15:15" x14ac:dyDescent="0.4">
      <c r="O582" s="6"/>
    </row>
    <row r="583" spans="15:15" x14ac:dyDescent="0.4">
      <c r="O583" s="6"/>
    </row>
    <row r="584" spans="15:15" x14ac:dyDescent="0.4">
      <c r="O584" s="6"/>
    </row>
    <row r="585" spans="15:15" x14ac:dyDescent="0.4">
      <c r="O585" s="6"/>
    </row>
    <row r="586" spans="15:15" x14ac:dyDescent="0.4">
      <c r="O586" s="6"/>
    </row>
    <row r="587" spans="15:15" x14ac:dyDescent="0.4">
      <c r="O587" s="6"/>
    </row>
    <row r="588" spans="15:15" x14ac:dyDescent="0.4">
      <c r="O588" s="6"/>
    </row>
    <row r="589" spans="15:15" x14ac:dyDescent="0.4">
      <c r="O589" s="6"/>
    </row>
    <row r="590" spans="15:15" x14ac:dyDescent="0.4">
      <c r="O590" s="6"/>
    </row>
    <row r="591" spans="15:15" x14ac:dyDescent="0.4">
      <c r="O591" s="6"/>
    </row>
    <row r="592" spans="15:15" x14ac:dyDescent="0.4">
      <c r="O592" s="6"/>
    </row>
    <row r="593" spans="15:15" x14ac:dyDescent="0.4">
      <c r="O593" s="6"/>
    </row>
    <row r="594" spans="15:15" x14ac:dyDescent="0.4">
      <c r="O594" s="6"/>
    </row>
    <row r="595" spans="15:15" x14ac:dyDescent="0.4">
      <c r="O595" s="6"/>
    </row>
    <row r="596" spans="15:15" x14ac:dyDescent="0.4">
      <c r="O596" s="6"/>
    </row>
    <row r="597" spans="15:15" x14ac:dyDescent="0.4">
      <c r="O597" s="6"/>
    </row>
    <row r="598" spans="15:15" x14ac:dyDescent="0.4">
      <c r="O598" s="6"/>
    </row>
    <row r="599" spans="15:15" x14ac:dyDescent="0.4">
      <c r="O599" s="6"/>
    </row>
    <row r="600" spans="15:15" x14ac:dyDescent="0.4">
      <c r="O600" s="6"/>
    </row>
    <row r="601" spans="15:15" x14ac:dyDescent="0.4">
      <c r="O601" s="6"/>
    </row>
    <row r="602" spans="15:15" x14ac:dyDescent="0.4">
      <c r="O602" s="6"/>
    </row>
    <row r="603" spans="15:15" x14ac:dyDescent="0.4">
      <c r="O603" s="6"/>
    </row>
    <row r="604" spans="15:15" x14ac:dyDescent="0.4">
      <c r="O604" s="6"/>
    </row>
    <row r="605" spans="15:15" x14ac:dyDescent="0.4">
      <c r="O605" s="6"/>
    </row>
    <row r="606" spans="15:15" x14ac:dyDescent="0.4">
      <c r="O606" s="6"/>
    </row>
    <row r="607" spans="15:15" x14ac:dyDescent="0.4">
      <c r="O607" s="6"/>
    </row>
    <row r="608" spans="15:15" x14ac:dyDescent="0.4">
      <c r="O608" s="6"/>
    </row>
    <row r="609" spans="15:15" x14ac:dyDescent="0.4">
      <c r="O609" s="6"/>
    </row>
    <row r="610" spans="15:15" x14ac:dyDescent="0.4">
      <c r="O610" s="6"/>
    </row>
    <row r="611" spans="15:15" x14ac:dyDescent="0.4">
      <c r="O611" s="6"/>
    </row>
    <row r="612" spans="15:15" x14ac:dyDescent="0.4">
      <c r="O612" s="6"/>
    </row>
    <row r="613" spans="15:15" x14ac:dyDescent="0.4">
      <c r="O613" s="6"/>
    </row>
    <row r="614" spans="15:15" x14ac:dyDescent="0.4">
      <c r="O614" s="6"/>
    </row>
    <row r="615" spans="15:15" x14ac:dyDescent="0.4">
      <c r="O615" s="6"/>
    </row>
    <row r="616" spans="15:15" x14ac:dyDescent="0.4">
      <c r="O616" s="6"/>
    </row>
    <row r="617" spans="15:15" x14ac:dyDescent="0.4">
      <c r="O617" s="6"/>
    </row>
    <row r="618" spans="15:15" x14ac:dyDescent="0.4">
      <c r="O618" s="6"/>
    </row>
    <row r="619" spans="15:15" x14ac:dyDescent="0.4">
      <c r="O619" s="6"/>
    </row>
    <row r="620" spans="15:15" x14ac:dyDescent="0.4">
      <c r="O620" s="6"/>
    </row>
    <row r="621" spans="15:15" x14ac:dyDescent="0.4">
      <c r="O621" s="6"/>
    </row>
    <row r="622" spans="15:15" x14ac:dyDescent="0.4">
      <c r="O622" s="6"/>
    </row>
    <row r="623" spans="15:15" x14ac:dyDescent="0.4">
      <c r="O623" s="6"/>
    </row>
    <row r="624" spans="15:15" x14ac:dyDescent="0.4">
      <c r="O624" s="6"/>
    </row>
    <row r="625" spans="15:15" x14ac:dyDescent="0.4">
      <c r="O625" s="6"/>
    </row>
    <row r="626" spans="15:15" x14ac:dyDescent="0.4">
      <c r="O626" s="6"/>
    </row>
    <row r="627" spans="15:15" x14ac:dyDescent="0.4">
      <c r="O627" s="6"/>
    </row>
    <row r="628" spans="15:15" x14ac:dyDescent="0.4">
      <c r="O628" s="6"/>
    </row>
    <row r="629" spans="15:15" x14ac:dyDescent="0.4">
      <c r="O629" s="6"/>
    </row>
    <row r="630" spans="15:15" x14ac:dyDescent="0.4">
      <c r="O630" s="6"/>
    </row>
    <row r="631" spans="15:15" x14ac:dyDescent="0.4">
      <c r="O631" s="6"/>
    </row>
    <row r="632" spans="15:15" x14ac:dyDescent="0.4">
      <c r="O632" s="6"/>
    </row>
    <row r="633" spans="15:15" x14ac:dyDescent="0.4">
      <c r="O633" s="6"/>
    </row>
    <row r="634" spans="15:15" x14ac:dyDescent="0.4">
      <c r="O634" s="6"/>
    </row>
    <row r="635" spans="15:15" x14ac:dyDescent="0.4">
      <c r="O635" s="6"/>
    </row>
    <row r="636" spans="15:15" x14ac:dyDescent="0.4">
      <c r="O636" s="6"/>
    </row>
    <row r="637" spans="15:15" x14ac:dyDescent="0.4">
      <c r="O637" s="6"/>
    </row>
    <row r="638" spans="15:15" x14ac:dyDescent="0.4">
      <c r="O638" s="6"/>
    </row>
    <row r="639" spans="15:15" x14ac:dyDescent="0.4">
      <c r="O639" s="6"/>
    </row>
    <row r="640" spans="15:15" x14ac:dyDescent="0.4">
      <c r="O640" s="6"/>
    </row>
    <row r="641" spans="15:15" x14ac:dyDescent="0.4">
      <c r="O641" s="6"/>
    </row>
    <row r="642" spans="15:15" x14ac:dyDescent="0.4">
      <c r="O642" s="6"/>
    </row>
    <row r="643" spans="15:15" x14ac:dyDescent="0.4">
      <c r="O643" s="6"/>
    </row>
    <row r="644" spans="15:15" x14ac:dyDescent="0.4">
      <c r="O644" s="6"/>
    </row>
    <row r="645" spans="15:15" x14ac:dyDescent="0.4">
      <c r="O645" s="6"/>
    </row>
    <row r="646" spans="15:15" x14ac:dyDescent="0.4">
      <c r="O646" s="6"/>
    </row>
    <row r="647" spans="15:15" x14ac:dyDescent="0.4">
      <c r="O647" s="6"/>
    </row>
    <row r="648" spans="15:15" x14ac:dyDescent="0.4">
      <c r="O648" s="6"/>
    </row>
    <row r="649" spans="15:15" x14ac:dyDescent="0.4">
      <c r="O649" s="6"/>
    </row>
    <row r="650" spans="15:15" x14ac:dyDescent="0.4">
      <c r="O650" s="6"/>
    </row>
    <row r="651" spans="15:15" x14ac:dyDescent="0.4">
      <c r="O651" s="6"/>
    </row>
    <row r="652" spans="15:15" x14ac:dyDescent="0.4">
      <c r="O652" s="6"/>
    </row>
    <row r="653" spans="15:15" x14ac:dyDescent="0.4">
      <c r="O653" s="6"/>
    </row>
    <row r="654" spans="15:15" x14ac:dyDescent="0.4">
      <c r="O654" s="6"/>
    </row>
    <row r="655" spans="15:15" x14ac:dyDescent="0.4">
      <c r="O655" s="6"/>
    </row>
    <row r="656" spans="15:15" x14ac:dyDescent="0.4">
      <c r="O656" s="6"/>
    </row>
    <row r="657" spans="15:15" x14ac:dyDescent="0.4">
      <c r="O657" s="6"/>
    </row>
    <row r="658" spans="15:15" x14ac:dyDescent="0.4">
      <c r="O658" s="6"/>
    </row>
    <row r="659" spans="15:15" x14ac:dyDescent="0.4">
      <c r="O659" s="6"/>
    </row>
    <row r="660" spans="15:15" x14ac:dyDescent="0.4">
      <c r="O660" s="6"/>
    </row>
    <row r="661" spans="15:15" x14ac:dyDescent="0.4">
      <c r="O661" s="6"/>
    </row>
    <row r="662" spans="15:15" x14ac:dyDescent="0.4">
      <c r="O662" s="6"/>
    </row>
    <row r="663" spans="15:15" x14ac:dyDescent="0.4">
      <c r="O663" s="6"/>
    </row>
    <row r="664" spans="15:15" x14ac:dyDescent="0.4">
      <c r="O664" s="6"/>
    </row>
    <row r="665" spans="15:15" x14ac:dyDescent="0.4">
      <c r="O665" s="6"/>
    </row>
    <row r="666" spans="15:15" x14ac:dyDescent="0.4">
      <c r="O666" s="6"/>
    </row>
    <row r="667" spans="15:15" x14ac:dyDescent="0.4">
      <c r="O667" s="6"/>
    </row>
    <row r="668" spans="15:15" x14ac:dyDescent="0.4">
      <c r="O668" s="6"/>
    </row>
    <row r="669" spans="15:15" x14ac:dyDescent="0.4">
      <c r="O669" s="6"/>
    </row>
    <row r="670" spans="15:15" x14ac:dyDescent="0.4">
      <c r="O670" s="6"/>
    </row>
    <row r="671" spans="15:15" x14ac:dyDescent="0.4">
      <c r="O671" s="6"/>
    </row>
    <row r="672" spans="15:15" x14ac:dyDescent="0.4">
      <c r="O672" s="6"/>
    </row>
    <row r="673" spans="15:15" x14ac:dyDescent="0.4">
      <c r="O673" s="6"/>
    </row>
    <row r="674" spans="15:15" x14ac:dyDescent="0.4">
      <c r="O674" s="6"/>
    </row>
    <row r="675" spans="15:15" x14ac:dyDescent="0.4">
      <c r="O675" s="6"/>
    </row>
    <row r="676" spans="15:15" x14ac:dyDescent="0.4">
      <c r="O676" s="6"/>
    </row>
    <row r="677" spans="15:15" x14ac:dyDescent="0.4">
      <c r="O677" s="6"/>
    </row>
    <row r="678" spans="15:15" x14ac:dyDescent="0.4">
      <c r="O678" s="6"/>
    </row>
    <row r="679" spans="15:15" x14ac:dyDescent="0.4">
      <c r="O679" s="6"/>
    </row>
    <row r="680" spans="15:15" x14ac:dyDescent="0.4">
      <c r="O680" s="6"/>
    </row>
    <row r="681" spans="15:15" x14ac:dyDescent="0.4">
      <c r="O681" s="6"/>
    </row>
    <row r="682" spans="15:15" x14ac:dyDescent="0.4">
      <c r="O682" s="6"/>
    </row>
    <row r="683" spans="15:15" x14ac:dyDescent="0.4">
      <c r="O683" s="6"/>
    </row>
    <row r="684" spans="15:15" x14ac:dyDescent="0.4">
      <c r="O684" s="6"/>
    </row>
    <row r="685" spans="15:15" x14ac:dyDescent="0.4">
      <c r="O685" s="6"/>
    </row>
    <row r="686" spans="15:15" x14ac:dyDescent="0.4">
      <c r="O686" s="6"/>
    </row>
    <row r="687" spans="15:15" x14ac:dyDescent="0.4">
      <c r="O687" s="6"/>
    </row>
    <row r="688" spans="15:15" x14ac:dyDescent="0.4">
      <c r="O688" s="6"/>
    </row>
    <row r="689" spans="15:15" x14ac:dyDescent="0.4">
      <c r="O689" s="6"/>
    </row>
    <row r="690" spans="15:15" x14ac:dyDescent="0.4">
      <c r="O690" s="6"/>
    </row>
    <row r="691" spans="15:15" x14ac:dyDescent="0.4">
      <c r="O691" s="6"/>
    </row>
    <row r="692" spans="15:15" x14ac:dyDescent="0.4">
      <c r="O692" s="6"/>
    </row>
    <row r="693" spans="15:15" x14ac:dyDescent="0.4">
      <c r="O693" s="6"/>
    </row>
    <row r="694" spans="15:15" x14ac:dyDescent="0.4">
      <c r="O694" s="6"/>
    </row>
    <row r="695" spans="15:15" x14ac:dyDescent="0.4">
      <c r="O695" s="6"/>
    </row>
    <row r="696" spans="15:15" x14ac:dyDescent="0.4">
      <c r="O696" s="6"/>
    </row>
    <row r="697" spans="15:15" x14ac:dyDescent="0.4">
      <c r="O697" s="6"/>
    </row>
    <row r="698" spans="15:15" x14ac:dyDescent="0.4">
      <c r="O698" s="6"/>
    </row>
    <row r="699" spans="15:15" x14ac:dyDescent="0.4">
      <c r="O699" s="6"/>
    </row>
    <row r="700" spans="15:15" x14ac:dyDescent="0.4">
      <c r="O700" s="6"/>
    </row>
    <row r="701" spans="15:15" x14ac:dyDescent="0.4">
      <c r="O701" s="6"/>
    </row>
    <row r="702" spans="15:15" x14ac:dyDescent="0.4">
      <c r="O702" s="6"/>
    </row>
    <row r="703" spans="15:15" x14ac:dyDescent="0.4">
      <c r="O703" s="6"/>
    </row>
    <row r="704" spans="15:15" x14ac:dyDescent="0.4">
      <c r="O704" s="6"/>
    </row>
    <row r="705" spans="15:15" x14ac:dyDescent="0.4">
      <c r="O705" s="6"/>
    </row>
    <row r="706" spans="15:15" x14ac:dyDescent="0.4">
      <c r="O706" s="6"/>
    </row>
    <row r="707" spans="15:15" x14ac:dyDescent="0.4">
      <c r="O707" s="6"/>
    </row>
    <row r="708" spans="15:15" x14ac:dyDescent="0.4">
      <c r="O708" s="6"/>
    </row>
    <row r="709" spans="15:15" x14ac:dyDescent="0.4">
      <c r="O709" s="6"/>
    </row>
    <row r="710" spans="15:15" x14ac:dyDescent="0.4">
      <c r="O710" s="6"/>
    </row>
    <row r="711" spans="15:15" x14ac:dyDescent="0.4">
      <c r="O711" s="6"/>
    </row>
    <row r="712" spans="15:15" x14ac:dyDescent="0.4">
      <c r="O712" s="6"/>
    </row>
    <row r="713" spans="15:15" x14ac:dyDescent="0.4">
      <c r="O713" s="6"/>
    </row>
    <row r="714" spans="15:15" x14ac:dyDescent="0.4">
      <c r="O714" s="6"/>
    </row>
    <row r="715" spans="15:15" x14ac:dyDescent="0.4">
      <c r="O715" s="6"/>
    </row>
    <row r="716" spans="15:15" x14ac:dyDescent="0.4">
      <c r="O716" s="6"/>
    </row>
    <row r="717" spans="15:15" x14ac:dyDescent="0.4">
      <c r="O717" s="6"/>
    </row>
    <row r="718" spans="15:15" x14ac:dyDescent="0.4">
      <c r="O718" s="6"/>
    </row>
    <row r="719" spans="15:15" x14ac:dyDescent="0.4">
      <c r="O719" s="6"/>
    </row>
    <row r="720" spans="15:15" x14ac:dyDescent="0.4">
      <c r="O720" s="6"/>
    </row>
    <row r="721" spans="15:15" x14ac:dyDescent="0.4">
      <c r="O721" s="6"/>
    </row>
    <row r="722" spans="15:15" x14ac:dyDescent="0.4">
      <c r="O722" s="6"/>
    </row>
    <row r="723" spans="15:15" x14ac:dyDescent="0.4">
      <c r="O723" s="6"/>
    </row>
    <row r="724" spans="15:15" x14ac:dyDescent="0.4">
      <c r="O724" s="6"/>
    </row>
    <row r="725" spans="15:15" x14ac:dyDescent="0.4">
      <c r="O725" s="6"/>
    </row>
    <row r="726" spans="15:15" x14ac:dyDescent="0.4">
      <c r="O726" s="6"/>
    </row>
    <row r="727" spans="15:15" x14ac:dyDescent="0.4">
      <c r="O727" s="6"/>
    </row>
    <row r="728" spans="15:15" x14ac:dyDescent="0.4">
      <c r="O728" s="6"/>
    </row>
    <row r="729" spans="15:15" x14ac:dyDescent="0.4">
      <c r="O729" s="6"/>
    </row>
    <row r="730" spans="15:15" x14ac:dyDescent="0.4">
      <c r="O730" s="6"/>
    </row>
    <row r="731" spans="15:15" x14ac:dyDescent="0.4">
      <c r="O731" s="6"/>
    </row>
    <row r="732" spans="15:15" x14ac:dyDescent="0.4">
      <c r="O732" s="6"/>
    </row>
    <row r="733" spans="15:15" x14ac:dyDescent="0.4">
      <c r="O733" s="6"/>
    </row>
    <row r="734" spans="15:15" x14ac:dyDescent="0.4">
      <c r="O734" s="6"/>
    </row>
    <row r="735" spans="15:15" x14ac:dyDescent="0.4">
      <c r="O735" s="6"/>
    </row>
    <row r="736" spans="15:15" x14ac:dyDescent="0.4">
      <c r="O736" s="6"/>
    </row>
    <row r="737" spans="15:15" x14ac:dyDescent="0.4">
      <c r="O737" s="6"/>
    </row>
    <row r="738" spans="15:15" x14ac:dyDescent="0.4">
      <c r="O738" s="6"/>
    </row>
    <row r="739" spans="15:15" x14ac:dyDescent="0.4">
      <c r="O739" s="6"/>
    </row>
    <row r="740" spans="15:15" x14ac:dyDescent="0.4">
      <c r="O740" s="6"/>
    </row>
    <row r="741" spans="15:15" x14ac:dyDescent="0.4">
      <c r="O741" s="6"/>
    </row>
    <row r="742" spans="15:15" x14ac:dyDescent="0.4">
      <c r="O742" s="6"/>
    </row>
    <row r="743" spans="15:15" x14ac:dyDescent="0.4">
      <c r="O743" s="6"/>
    </row>
    <row r="744" spans="15:15" x14ac:dyDescent="0.4">
      <c r="O744" s="6"/>
    </row>
    <row r="745" spans="15:15" x14ac:dyDescent="0.4">
      <c r="O745" s="6"/>
    </row>
    <row r="746" spans="15:15" x14ac:dyDescent="0.4">
      <c r="O746" s="6"/>
    </row>
    <row r="747" spans="15:15" x14ac:dyDescent="0.4">
      <c r="O747" s="6"/>
    </row>
    <row r="748" spans="15:15" x14ac:dyDescent="0.4">
      <c r="O748" s="6"/>
    </row>
    <row r="749" spans="15:15" x14ac:dyDescent="0.4">
      <c r="O749" s="6"/>
    </row>
    <row r="750" spans="15:15" x14ac:dyDescent="0.4">
      <c r="O750" s="6"/>
    </row>
    <row r="751" spans="15:15" x14ac:dyDescent="0.4">
      <c r="O751" s="6"/>
    </row>
    <row r="752" spans="15:15" x14ac:dyDescent="0.4">
      <c r="O752" s="6"/>
    </row>
    <row r="753" spans="15:15" x14ac:dyDescent="0.4">
      <c r="O753" s="6"/>
    </row>
    <row r="754" spans="15:15" x14ac:dyDescent="0.4">
      <c r="O754" s="6"/>
    </row>
    <row r="755" spans="15:15" x14ac:dyDescent="0.4">
      <c r="O755" s="6"/>
    </row>
    <row r="756" spans="15:15" x14ac:dyDescent="0.4">
      <c r="O756" s="6"/>
    </row>
    <row r="757" spans="15:15" x14ac:dyDescent="0.4">
      <c r="O757" s="6"/>
    </row>
    <row r="758" spans="15:15" x14ac:dyDescent="0.4">
      <c r="O758" s="6"/>
    </row>
    <row r="759" spans="15:15" x14ac:dyDescent="0.4">
      <c r="O759" s="6"/>
    </row>
    <row r="760" spans="15:15" x14ac:dyDescent="0.4">
      <c r="O760" s="6"/>
    </row>
    <row r="761" spans="15:15" x14ac:dyDescent="0.4">
      <c r="O761" s="6"/>
    </row>
    <row r="762" spans="15:15" x14ac:dyDescent="0.4">
      <c r="O762" s="6"/>
    </row>
    <row r="763" spans="15:15" x14ac:dyDescent="0.4">
      <c r="O763" s="6"/>
    </row>
    <row r="764" spans="15:15" x14ac:dyDescent="0.4">
      <c r="O764" s="6"/>
    </row>
    <row r="765" spans="15:15" x14ac:dyDescent="0.4">
      <c r="O765" s="6"/>
    </row>
    <row r="766" spans="15:15" x14ac:dyDescent="0.4">
      <c r="O766" s="6"/>
    </row>
    <row r="767" spans="15:15" x14ac:dyDescent="0.4">
      <c r="O767" s="6"/>
    </row>
    <row r="768" spans="15:15" x14ac:dyDescent="0.4">
      <c r="O768" s="6"/>
    </row>
    <row r="769" spans="15:15" x14ac:dyDescent="0.4">
      <c r="O769" s="6"/>
    </row>
    <row r="770" spans="15:15" x14ac:dyDescent="0.4">
      <c r="O770" s="6"/>
    </row>
    <row r="771" spans="15:15" x14ac:dyDescent="0.4">
      <c r="O771" s="6"/>
    </row>
    <row r="772" spans="15:15" x14ac:dyDescent="0.4">
      <c r="O772" s="6"/>
    </row>
    <row r="773" spans="15:15" x14ac:dyDescent="0.4">
      <c r="O773" s="6"/>
    </row>
    <row r="774" spans="15:15" x14ac:dyDescent="0.4">
      <c r="O774" s="6"/>
    </row>
    <row r="775" spans="15:15" x14ac:dyDescent="0.4">
      <c r="O775" s="6"/>
    </row>
    <row r="776" spans="15:15" x14ac:dyDescent="0.4">
      <c r="O776" s="6"/>
    </row>
    <row r="777" spans="15:15" x14ac:dyDescent="0.4">
      <c r="O777" s="6"/>
    </row>
    <row r="778" spans="15:15" x14ac:dyDescent="0.4">
      <c r="O778" s="6"/>
    </row>
    <row r="779" spans="15:15" x14ac:dyDescent="0.4">
      <c r="O779" s="6"/>
    </row>
    <row r="780" spans="15:15" x14ac:dyDescent="0.4">
      <c r="O780" s="6"/>
    </row>
    <row r="781" spans="15:15" x14ac:dyDescent="0.4">
      <c r="O781" s="6"/>
    </row>
    <row r="782" spans="15:15" x14ac:dyDescent="0.4">
      <c r="O782" s="6"/>
    </row>
    <row r="783" spans="15:15" x14ac:dyDescent="0.4">
      <c r="O783" s="6"/>
    </row>
    <row r="784" spans="15:15" x14ac:dyDescent="0.4">
      <c r="O784" s="6"/>
    </row>
    <row r="785" spans="15:15" x14ac:dyDescent="0.4">
      <c r="O785" s="6"/>
    </row>
    <row r="786" spans="15:15" x14ac:dyDescent="0.4">
      <c r="O786" s="6"/>
    </row>
    <row r="787" spans="15:15" x14ac:dyDescent="0.4">
      <c r="O787" s="6"/>
    </row>
    <row r="788" spans="15:15" x14ac:dyDescent="0.4">
      <c r="O788" s="6"/>
    </row>
    <row r="789" spans="15:15" x14ac:dyDescent="0.4">
      <c r="O789" s="6"/>
    </row>
    <row r="790" spans="15:15" x14ac:dyDescent="0.4">
      <c r="O790" s="6"/>
    </row>
    <row r="791" spans="15:15" x14ac:dyDescent="0.4">
      <c r="O791" s="6"/>
    </row>
    <row r="792" spans="15:15" x14ac:dyDescent="0.4">
      <c r="O792" s="6"/>
    </row>
    <row r="793" spans="15:15" x14ac:dyDescent="0.4">
      <c r="O793" s="6"/>
    </row>
    <row r="794" spans="15:15" x14ac:dyDescent="0.4">
      <c r="O794" s="6"/>
    </row>
    <row r="795" spans="15:15" x14ac:dyDescent="0.4">
      <c r="O795" s="6"/>
    </row>
    <row r="796" spans="15:15" x14ac:dyDescent="0.4">
      <c r="O796" s="6"/>
    </row>
    <row r="797" spans="15:15" x14ac:dyDescent="0.4">
      <c r="O797" s="6"/>
    </row>
    <row r="798" spans="15:15" x14ac:dyDescent="0.4">
      <c r="O798" s="6"/>
    </row>
    <row r="799" spans="15:15" x14ac:dyDescent="0.4">
      <c r="O799" s="6"/>
    </row>
    <row r="800" spans="15:15" x14ac:dyDescent="0.4">
      <c r="O800" s="6"/>
    </row>
    <row r="801" spans="15:15" x14ac:dyDescent="0.4">
      <c r="O801" s="6"/>
    </row>
    <row r="802" spans="15:15" x14ac:dyDescent="0.4">
      <c r="O802" s="6"/>
    </row>
    <row r="803" spans="15:15" x14ac:dyDescent="0.4">
      <c r="O803" s="6"/>
    </row>
    <row r="804" spans="15:15" x14ac:dyDescent="0.4">
      <c r="O804" s="6"/>
    </row>
    <row r="805" spans="15:15" x14ac:dyDescent="0.4">
      <c r="O805" s="6"/>
    </row>
    <row r="806" spans="15:15" x14ac:dyDescent="0.4">
      <c r="O806" s="6"/>
    </row>
    <row r="807" spans="15:15" x14ac:dyDescent="0.4">
      <c r="O807" s="6"/>
    </row>
    <row r="808" spans="15:15" x14ac:dyDescent="0.4">
      <c r="O808" s="6"/>
    </row>
    <row r="809" spans="15:15" x14ac:dyDescent="0.4">
      <c r="O809" s="6"/>
    </row>
    <row r="810" spans="15:15" x14ac:dyDescent="0.4">
      <c r="O810" s="6"/>
    </row>
    <row r="811" spans="15:15" x14ac:dyDescent="0.4">
      <c r="O811" s="6"/>
    </row>
    <row r="812" spans="15:15" x14ac:dyDescent="0.4">
      <c r="O812" s="6"/>
    </row>
    <row r="813" spans="15:15" x14ac:dyDescent="0.4">
      <c r="O813" s="6"/>
    </row>
    <row r="814" spans="15:15" x14ac:dyDescent="0.4">
      <c r="O814" s="6"/>
    </row>
    <row r="815" spans="15:15" x14ac:dyDescent="0.4">
      <c r="O815" s="6"/>
    </row>
    <row r="816" spans="15:15" x14ac:dyDescent="0.4">
      <c r="O816" s="6"/>
    </row>
    <row r="817" spans="15:15" x14ac:dyDescent="0.4">
      <c r="O817" s="6"/>
    </row>
    <row r="818" spans="15:15" x14ac:dyDescent="0.4">
      <c r="O818" s="6"/>
    </row>
    <row r="819" spans="15:15" x14ac:dyDescent="0.4">
      <c r="O819" s="6"/>
    </row>
    <row r="820" spans="15:15" x14ac:dyDescent="0.4">
      <c r="O820" s="6"/>
    </row>
    <row r="821" spans="15:15" x14ac:dyDescent="0.4">
      <c r="O821" s="6"/>
    </row>
    <row r="822" spans="15:15" x14ac:dyDescent="0.4">
      <c r="O822" s="6"/>
    </row>
    <row r="823" spans="15:15" x14ac:dyDescent="0.4">
      <c r="O823" s="6"/>
    </row>
    <row r="824" spans="15:15" x14ac:dyDescent="0.4">
      <c r="O824" s="6"/>
    </row>
    <row r="825" spans="15:15" x14ac:dyDescent="0.4">
      <c r="O825" s="6"/>
    </row>
    <row r="826" spans="15:15" x14ac:dyDescent="0.4">
      <c r="O826" s="6"/>
    </row>
    <row r="827" spans="15:15" x14ac:dyDescent="0.4">
      <c r="O827" s="6"/>
    </row>
    <row r="828" spans="15:15" x14ac:dyDescent="0.4">
      <c r="O828" s="6"/>
    </row>
    <row r="829" spans="15:15" x14ac:dyDescent="0.4">
      <c r="O829" s="6"/>
    </row>
    <row r="830" spans="15:15" x14ac:dyDescent="0.4">
      <c r="O830" s="6"/>
    </row>
    <row r="831" spans="15:15" x14ac:dyDescent="0.4">
      <c r="O831" s="6"/>
    </row>
    <row r="832" spans="15:15" x14ac:dyDescent="0.4">
      <c r="O832" s="6"/>
    </row>
    <row r="833" spans="15:15" x14ac:dyDescent="0.4">
      <c r="O833" s="6"/>
    </row>
    <row r="834" spans="15:15" x14ac:dyDescent="0.4">
      <c r="O834" s="6"/>
    </row>
    <row r="835" spans="15:15" x14ac:dyDescent="0.4">
      <c r="O835" s="6"/>
    </row>
    <row r="836" spans="15:15" x14ac:dyDescent="0.4">
      <c r="O836" s="6"/>
    </row>
    <row r="837" spans="15:15" x14ac:dyDescent="0.4">
      <c r="O837" s="6"/>
    </row>
    <row r="838" spans="15:15" x14ac:dyDescent="0.4">
      <c r="O838" s="6"/>
    </row>
    <row r="839" spans="15:15" x14ac:dyDescent="0.4">
      <c r="O839" s="6"/>
    </row>
    <row r="840" spans="15:15" x14ac:dyDescent="0.4">
      <c r="O840" s="6"/>
    </row>
    <row r="841" spans="15:15" x14ac:dyDescent="0.4">
      <c r="O841" s="6"/>
    </row>
    <row r="842" spans="15:15" x14ac:dyDescent="0.4">
      <c r="O842" s="6"/>
    </row>
    <row r="843" spans="15:15" x14ac:dyDescent="0.4">
      <c r="O843" s="6"/>
    </row>
    <row r="844" spans="15:15" x14ac:dyDescent="0.4">
      <c r="O844" s="6"/>
    </row>
    <row r="845" spans="15:15" x14ac:dyDescent="0.4">
      <c r="O845" s="6"/>
    </row>
    <row r="846" spans="15:15" x14ac:dyDescent="0.4">
      <c r="O846" s="6"/>
    </row>
    <row r="847" spans="15:15" x14ac:dyDescent="0.4">
      <c r="O847" s="6"/>
    </row>
    <row r="848" spans="15:15" x14ac:dyDescent="0.4">
      <c r="O848" s="6"/>
    </row>
    <row r="849" spans="15:15" x14ac:dyDescent="0.4">
      <c r="O849" s="6"/>
    </row>
    <row r="850" spans="15:15" x14ac:dyDescent="0.4">
      <c r="O850" s="6"/>
    </row>
    <row r="851" spans="15:15" x14ac:dyDescent="0.4">
      <c r="O851" s="6"/>
    </row>
    <row r="852" spans="15:15" x14ac:dyDescent="0.4">
      <c r="O852" s="6"/>
    </row>
    <row r="853" spans="15:15" x14ac:dyDescent="0.4">
      <c r="O853" s="6"/>
    </row>
    <row r="854" spans="15:15" x14ac:dyDescent="0.4">
      <c r="O854" s="6"/>
    </row>
    <row r="855" spans="15:15" x14ac:dyDescent="0.4">
      <c r="O855" s="6"/>
    </row>
    <row r="856" spans="15:15" x14ac:dyDescent="0.4">
      <c r="O856" s="6"/>
    </row>
    <row r="857" spans="15:15" x14ac:dyDescent="0.4">
      <c r="O857" s="6"/>
    </row>
    <row r="858" spans="15:15" x14ac:dyDescent="0.4">
      <c r="O858" s="6"/>
    </row>
    <row r="859" spans="15:15" x14ac:dyDescent="0.4">
      <c r="O859" s="6"/>
    </row>
    <row r="860" spans="15:15" x14ac:dyDescent="0.4">
      <c r="O860" s="6"/>
    </row>
    <row r="861" spans="15:15" x14ac:dyDescent="0.4">
      <c r="O861" s="6"/>
    </row>
    <row r="862" spans="15:15" x14ac:dyDescent="0.4">
      <c r="O862" s="6"/>
    </row>
    <row r="863" spans="15:15" x14ac:dyDescent="0.4">
      <c r="O863" s="6"/>
    </row>
    <row r="864" spans="15:15" x14ac:dyDescent="0.4">
      <c r="O864" s="6"/>
    </row>
    <row r="865" spans="15:15" x14ac:dyDescent="0.4">
      <c r="O865" s="6"/>
    </row>
    <row r="866" spans="15:15" x14ac:dyDescent="0.4">
      <c r="O866" s="6"/>
    </row>
    <row r="867" spans="15:15" x14ac:dyDescent="0.4">
      <c r="O867" s="6"/>
    </row>
    <row r="868" spans="15:15" x14ac:dyDescent="0.4">
      <c r="O868" s="6"/>
    </row>
    <row r="869" spans="15:15" x14ac:dyDescent="0.4">
      <c r="O869" s="6"/>
    </row>
    <row r="870" spans="15:15" x14ac:dyDescent="0.4">
      <c r="O870" s="6"/>
    </row>
    <row r="871" spans="15:15" x14ac:dyDescent="0.4">
      <c r="O871" s="6"/>
    </row>
    <row r="872" spans="15:15" x14ac:dyDescent="0.4">
      <c r="O872" s="6"/>
    </row>
    <row r="873" spans="15:15" x14ac:dyDescent="0.4">
      <c r="O873" s="6"/>
    </row>
    <row r="874" spans="15:15" x14ac:dyDescent="0.4">
      <c r="O874" s="6"/>
    </row>
    <row r="875" spans="15:15" x14ac:dyDescent="0.4">
      <c r="O875" s="6"/>
    </row>
    <row r="876" spans="15:15" x14ac:dyDescent="0.4">
      <c r="O876" s="6"/>
    </row>
    <row r="877" spans="15:15" x14ac:dyDescent="0.4">
      <c r="O877" s="6"/>
    </row>
    <row r="878" spans="15:15" x14ac:dyDescent="0.4">
      <c r="O878" s="6"/>
    </row>
    <row r="879" spans="15:15" x14ac:dyDescent="0.4">
      <c r="O879" s="6"/>
    </row>
    <row r="880" spans="15:15" x14ac:dyDescent="0.4">
      <c r="O880" s="6"/>
    </row>
    <row r="881" spans="15:15" x14ac:dyDescent="0.4">
      <c r="O881" s="6"/>
    </row>
    <row r="882" spans="15:15" x14ac:dyDescent="0.4">
      <c r="O882" s="6"/>
    </row>
    <row r="883" spans="15:15" x14ac:dyDescent="0.4">
      <c r="O883" s="6"/>
    </row>
    <row r="884" spans="15:15" x14ac:dyDescent="0.4">
      <c r="O884" s="6"/>
    </row>
    <row r="885" spans="15:15" x14ac:dyDescent="0.4">
      <c r="O885" s="6"/>
    </row>
    <row r="886" spans="15:15" x14ac:dyDescent="0.4">
      <c r="O886" s="6"/>
    </row>
    <row r="887" spans="15:15" x14ac:dyDescent="0.4">
      <c r="O887" s="6"/>
    </row>
    <row r="888" spans="15:15" x14ac:dyDescent="0.4">
      <c r="O888" s="6"/>
    </row>
    <row r="889" spans="15:15" x14ac:dyDescent="0.4">
      <c r="O889" s="6"/>
    </row>
    <row r="890" spans="15:15" x14ac:dyDescent="0.4">
      <c r="O890" s="6"/>
    </row>
    <row r="891" spans="15:15" x14ac:dyDescent="0.4">
      <c r="O891" s="6"/>
    </row>
    <row r="892" spans="15:15" x14ac:dyDescent="0.4">
      <c r="O892" s="6"/>
    </row>
    <row r="893" spans="15:15" x14ac:dyDescent="0.4">
      <c r="O893" s="6"/>
    </row>
    <row r="894" spans="15:15" x14ac:dyDescent="0.4">
      <c r="O894" s="6"/>
    </row>
    <row r="895" spans="15:15" x14ac:dyDescent="0.4">
      <c r="O895" s="6"/>
    </row>
    <row r="896" spans="15:15" x14ac:dyDescent="0.4">
      <c r="O896" s="6"/>
    </row>
    <row r="897" spans="15:15" x14ac:dyDescent="0.4">
      <c r="O897" s="6"/>
    </row>
    <row r="898" spans="15:15" x14ac:dyDescent="0.4">
      <c r="O898" s="6"/>
    </row>
    <row r="899" spans="15:15" x14ac:dyDescent="0.4">
      <c r="O899" s="6"/>
    </row>
    <row r="900" spans="15:15" x14ac:dyDescent="0.4">
      <c r="O900" s="6"/>
    </row>
    <row r="901" spans="15:15" x14ac:dyDescent="0.4">
      <c r="O901" s="6"/>
    </row>
    <row r="902" spans="15:15" x14ac:dyDescent="0.4">
      <c r="O902" s="6"/>
    </row>
    <row r="903" spans="15:15" x14ac:dyDescent="0.4">
      <c r="O903" s="6"/>
    </row>
    <row r="904" spans="15:15" x14ac:dyDescent="0.4">
      <c r="O904" s="6"/>
    </row>
    <row r="905" spans="15:15" x14ac:dyDescent="0.4">
      <c r="O905" s="6"/>
    </row>
    <row r="906" spans="15:15" x14ac:dyDescent="0.4">
      <c r="O906" s="6"/>
    </row>
    <row r="907" spans="15:15" x14ac:dyDescent="0.4">
      <c r="O907" s="6"/>
    </row>
    <row r="908" spans="15:15" x14ac:dyDescent="0.4">
      <c r="O908" s="6"/>
    </row>
    <row r="909" spans="15:15" x14ac:dyDescent="0.4">
      <c r="O909" s="6"/>
    </row>
    <row r="910" spans="15:15" x14ac:dyDescent="0.4">
      <c r="O910" s="6"/>
    </row>
    <row r="911" spans="15:15" x14ac:dyDescent="0.4">
      <c r="O911" s="6"/>
    </row>
    <row r="912" spans="15:15" x14ac:dyDescent="0.4">
      <c r="O912" s="6"/>
    </row>
    <row r="913" spans="15:15" x14ac:dyDescent="0.4">
      <c r="O913" s="6"/>
    </row>
    <row r="914" spans="15:15" x14ac:dyDescent="0.4">
      <c r="O914" s="6"/>
    </row>
    <row r="915" spans="15:15" x14ac:dyDescent="0.4">
      <c r="O915" s="6"/>
    </row>
    <row r="916" spans="15:15" x14ac:dyDescent="0.4">
      <c r="O916" s="6"/>
    </row>
    <row r="917" spans="15:15" x14ac:dyDescent="0.4">
      <c r="O917" s="6"/>
    </row>
    <row r="918" spans="15:15" x14ac:dyDescent="0.4">
      <c r="O918" s="6"/>
    </row>
    <row r="919" spans="15:15" x14ac:dyDescent="0.4">
      <c r="O919" s="6"/>
    </row>
    <row r="920" spans="15:15" x14ac:dyDescent="0.4">
      <c r="O920" s="6"/>
    </row>
    <row r="921" spans="15:15" x14ac:dyDescent="0.4">
      <c r="O921" s="6"/>
    </row>
    <row r="922" spans="15:15" x14ac:dyDescent="0.4">
      <c r="O922" s="6"/>
    </row>
    <row r="923" spans="15:15" x14ac:dyDescent="0.4">
      <c r="O923" s="6"/>
    </row>
    <row r="924" spans="15:15" x14ac:dyDescent="0.4">
      <c r="O924" s="6"/>
    </row>
    <row r="925" spans="15:15" x14ac:dyDescent="0.4">
      <c r="O925" s="6"/>
    </row>
    <row r="926" spans="15:15" x14ac:dyDescent="0.4">
      <c r="O926" s="6"/>
    </row>
    <row r="927" spans="15:15" x14ac:dyDescent="0.4">
      <c r="O927" s="6"/>
    </row>
    <row r="928" spans="15:15" x14ac:dyDescent="0.4">
      <c r="O928" s="6"/>
    </row>
    <row r="929" spans="15:15" x14ac:dyDescent="0.4">
      <c r="O929" s="6"/>
    </row>
    <row r="930" spans="15:15" x14ac:dyDescent="0.4">
      <c r="O930" s="6"/>
    </row>
    <row r="931" spans="15:15" x14ac:dyDescent="0.4">
      <c r="O931" s="6"/>
    </row>
    <row r="932" spans="15:15" x14ac:dyDescent="0.4">
      <c r="O932" s="6"/>
    </row>
    <row r="933" spans="15:15" x14ac:dyDescent="0.4">
      <c r="O933" s="6"/>
    </row>
    <row r="934" spans="15:15" x14ac:dyDescent="0.4">
      <c r="O934" s="6"/>
    </row>
    <row r="935" spans="15:15" x14ac:dyDescent="0.4">
      <c r="O935" s="6"/>
    </row>
    <row r="936" spans="15:15" x14ac:dyDescent="0.4">
      <c r="O936" s="6"/>
    </row>
    <row r="937" spans="15:15" x14ac:dyDescent="0.4">
      <c r="O937" s="6"/>
    </row>
    <row r="938" spans="15:15" x14ac:dyDescent="0.4">
      <c r="O938" s="6"/>
    </row>
    <row r="939" spans="15:15" x14ac:dyDescent="0.4">
      <c r="O939" s="6"/>
    </row>
    <row r="940" spans="15:15" x14ac:dyDescent="0.4">
      <c r="O940" s="6"/>
    </row>
    <row r="941" spans="15:15" x14ac:dyDescent="0.4">
      <c r="O941" s="6"/>
    </row>
    <row r="942" spans="15:15" x14ac:dyDescent="0.4">
      <c r="O942" s="6"/>
    </row>
    <row r="943" spans="15:15" x14ac:dyDescent="0.4">
      <c r="O943" s="6"/>
    </row>
    <row r="944" spans="15:15" x14ac:dyDescent="0.4">
      <c r="O944" s="6"/>
    </row>
    <row r="945" spans="15:15" x14ac:dyDescent="0.4">
      <c r="O945" s="6"/>
    </row>
    <row r="946" spans="15:15" x14ac:dyDescent="0.4">
      <c r="O946" s="6"/>
    </row>
    <row r="947" spans="15:15" x14ac:dyDescent="0.4">
      <c r="O947" s="6"/>
    </row>
    <row r="948" spans="15:15" x14ac:dyDescent="0.4">
      <c r="O948" s="6"/>
    </row>
    <row r="949" spans="15:15" x14ac:dyDescent="0.4">
      <c r="O949" s="6"/>
    </row>
    <row r="950" spans="15:15" x14ac:dyDescent="0.4">
      <c r="O950" s="6"/>
    </row>
    <row r="951" spans="15:15" x14ac:dyDescent="0.4">
      <c r="O951" s="6"/>
    </row>
    <row r="952" spans="15:15" x14ac:dyDescent="0.4">
      <c r="O952" s="6"/>
    </row>
    <row r="953" spans="15:15" x14ac:dyDescent="0.4">
      <c r="O953" s="6"/>
    </row>
    <row r="954" spans="15:15" x14ac:dyDescent="0.4">
      <c r="O954" s="6"/>
    </row>
    <row r="955" spans="15:15" x14ac:dyDescent="0.4">
      <c r="O955" s="6"/>
    </row>
    <row r="956" spans="15:15" x14ac:dyDescent="0.4">
      <c r="O956" s="6"/>
    </row>
    <row r="957" spans="15:15" x14ac:dyDescent="0.4">
      <c r="O957" s="6"/>
    </row>
    <row r="958" spans="15:15" x14ac:dyDescent="0.4">
      <c r="O958" s="6"/>
    </row>
    <row r="959" spans="15:15" x14ac:dyDescent="0.4">
      <c r="O959" s="6"/>
    </row>
    <row r="960" spans="15:15" x14ac:dyDescent="0.4">
      <c r="O960" s="6"/>
    </row>
    <row r="961" spans="15:15" x14ac:dyDescent="0.4">
      <c r="O961" s="6"/>
    </row>
    <row r="962" spans="15:15" x14ac:dyDescent="0.4">
      <c r="O962" s="6"/>
    </row>
    <row r="963" spans="15:15" x14ac:dyDescent="0.4">
      <c r="O963" s="6"/>
    </row>
    <row r="964" spans="15:15" x14ac:dyDescent="0.4">
      <c r="O964" s="6"/>
    </row>
    <row r="965" spans="15:15" x14ac:dyDescent="0.4">
      <c r="O965" s="6"/>
    </row>
    <row r="966" spans="15:15" x14ac:dyDescent="0.4">
      <c r="O966" s="6"/>
    </row>
    <row r="967" spans="15:15" x14ac:dyDescent="0.4">
      <c r="O967" s="6"/>
    </row>
    <row r="968" spans="15:15" x14ac:dyDescent="0.4">
      <c r="O968" s="6"/>
    </row>
    <row r="969" spans="15:15" x14ac:dyDescent="0.4">
      <c r="O969" s="6"/>
    </row>
    <row r="970" spans="15:15" x14ac:dyDescent="0.4">
      <c r="O970" s="6"/>
    </row>
    <row r="971" spans="15:15" x14ac:dyDescent="0.4">
      <c r="O971" s="6"/>
    </row>
    <row r="972" spans="15:15" x14ac:dyDescent="0.4">
      <c r="O972" s="6"/>
    </row>
    <row r="973" spans="15:15" x14ac:dyDescent="0.4">
      <c r="O973" s="6"/>
    </row>
    <row r="974" spans="15:15" x14ac:dyDescent="0.4">
      <c r="O974" s="6"/>
    </row>
    <row r="975" spans="15:15" x14ac:dyDescent="0.4">
      <c r="O975" s="6"/>
    </row>
    <row r="976" spans="15:15" x14ac:dyDescent="0.4">
      <c r="O976" s="6"/>
    </row>
    <row r="977" spans="15:15" x14ac:dyDescent="0.4">
      <c r="O977" s="6"/>
    </row>
    <row r="978" spans="15:15" x14ac:dyDescent="0.4">
      <c r="O978" s="6"/>
    </row>
    <row r="979" spans="15:15" x14ac:dyDescent="0.4">
      <c r="O979" s="6"/>
    </row>
    <row r="980" spans="15:15" x14ac:dyDescent="0.4">
      <c r="O980" s="6"/>
    </row>
    <row r="981" spans="15:15" x14ac:dyDescent="0.4">
      <c r="O981" s="6"/>
    </row>
    <row r="982" spans="15:15" x14ac:dyDescent="0.4">
      <c r="O982" s="6"/>
    </row>
    <row r="983" spans="15:15" x14ac:dyDescent="0.4">
      <c r="O983" s="6"/>
    </row>
    <row r="984" spans="15:15" x14ac:dyDescent="0.4">
      <c r="O984" s="6"/>
    </row>
    <row r="985" spans="15:15" x14ac:dyDescent="0.4">
      <c r="O985" s="6"/>
    </row>
    <row r="986" spans="15:15" x14ac:dyDescent="0.4">
      <c r="O986" s="6"/>
    </row>
    <row r="987" spans="15:15" x14ac:dyDescent="0.4">
      <c r="O987" s="6"/>
    </row>
    <row r="988" spans="15:15" x14ac:dyDescent="0.4">
      <c r="O988" s="6"/>
    </row>
    <row r="989" spans="15:15" x14ac:dyDescent="0.4">
      <c r="O989" s="6"/>
    </row>
    <row r="990" spans="15:15" x14ac:dyDescent="0.4">
      <c r="O990" s="6"/>
    </row>
    <row r="991" spans="15:15" x14ac:dyDescent="0.4">
      <c r="O991" s="6"/>
    </row>
    <row r="992" spans="15:15" x14ac:dyDescent="0.4">
      <c r="O992" s="6"/>
    </row>
    <row r="993" spans="15:15" x14ac:dyDescent="0.4">
      <c r="O993" s="6"/>
    </row>
    <row r="994" spans="15:15" x14ac:dyDescent="0.4">
      <c r="O994" s="6"/>
    </row>
    <row r="995" spans="15:15" x14ac:dyDescent="0.4">
      <c r="O995" s="6"/>
    </row>
    <row r="996" spans="15:15" x14ac:dyDescent="0.4">
      <c r="O996" s="6"/>
    </row>
    <row r="997" spans="15:15" x14ac:dyDescent="0.4">
      <c r="O997" s="6"/>
    </row>
    <row r="998" spans="15:15" x14ac:dyDescent="0.4">
      <c r="O998" s="6"/>
    </row>
    <row r="999" spans="15:15" x14ac:dyDescent="0.4">
      <c r="O999" s="6"/>
    </row>
    <row r="1000" spans="15:15" x14ac:dyDescent="0.4">
      <c r="O1000" s="6"/>
    </row>
    <row r="1001" spans="15:15" x14ac:dyDescent="0.4">
      <c r="O1001" s="6"/>
    </row>
    <row r="1002" spans="15:15" x14ac:dyDescent="0.4">
      <c r="O1002" s="6"/>
    </row>
    <row r="1003" spans="15:15" x14ac:dyDescent="0.4">
      <c r="O1003" s="6"/>
    </row>
    <row r="1004" spans="15:15" x14ac:dyDescent="0.4">
      <c r="O1004" s="6"/>
    </row>
    <row r="1005" spans="15:15" x14ac:dyDescent="0.4">
      <c r="O1005" s="6"/>
    </row>
    <row r="1006" spans="15:15" x14ac:dyDescent="0.4">
      <c r="O1006" s="6"/>
    </row>
    <row r="1007" spans="15:15" x14ac:dyDescent="0.4">
      <c r="O1007" s="6"/>
    </row>
    <row r="1008" spans="15:15" x14ac:dyDescent="0.4">
      <c r="O1008" s="6"/>
    </row>
    <row r="1009" spans="15:15" x14ac:dyDescent="0.4">
      <c r="O1009" s="6"/>
    </row>
    <row r="1010" spans="15:15" x14ac:dyDescent="0.4">
      <c r="O1010" s="6"/>
    </row>
    <row r="1011" spans="15:15" x14ac:dyDescent="0.4">
      <c r="O1011" s="6"/>
    </row>
    <row r="1012" spans="15:15" x14ac:dyDescent="0.4">
      <c r="O1012" s="6"/>
    </row>
    <row r="1013" spans="15:15" x14ac:dyDescent="0.4">
      <c r="O1013" s="6"/>
    </row>
    <row r="1014" spans="15:15" x14ac:dyDescent="0.4">
      <c r="O1014" s="6"/>
    </row>
    <row r="1015" spans="15:15" x14ac:dyDescent="0.4">
      <c r="O1015" s="6"/>
    </row>
    <row r="1016" spans="15:15" x14ac:dyDescent="0.4">
      <c r="O1016" s="6"/>
    </row>
    <row r="1017" spans="15:15" x14ac:dyDescent="0.4">
      <c r="O1017" s="6"/>
    </row>
    <row r="1018" spans="15:15" x14ac:dyDescent="0.4">
      <c r="O1018" s="6"/>
    </row>
    <row r="1019" spans="15:15" x14ac:dyDescent="0.4">
      <c r="O1019" s="6"/>
    </row>
    <row r="1020" spans="15:15" x14ac:dyDescent="0.4">
      <c r="O1020" s="6"/>
    </row>
    <row r="1021" spans="15:15" x14ac:dyDescent="0.4">
      <c r="O1021" s="6"/>
    </row>
    <row r="1022" spans="15:15" x14ac:dyDescent="0.4">
      <c r="O1022" s="6"/>
    </row>
    <row r="1023" spans="15:15" x14ac:dyDescent="0.4">
      <c r="O1023" s="6"/>
    </row>
    <row r="1024" spans="15:15" x14ac:dyDescent="0.4">
      <c r="O1024" s="6"/>
    </row>
    <row r="1025" spans="15:15" x14ac:dyDescent="0.4">
      <c r="O1025" s="6"/>
    </row>
    <row r="1026" spans="15:15" x14ac:dyDescent="0.4">
      <c r="O1026" s="6"/>
    </row>
    <row r="1027" spans="15:15" x14ac:dyDescent="0.4">
      <c r="O1027" s="6"/>
    </row>
    <row r="1028" spans="15:15" x14ac:dyDescent="0.4">
      <c r="O1028" s="6"/>
    </row>
    <row r="1029" spans="15:15" x14ac:dyDescent="0.4">
      <c r="O1029" s="6"/>
    </row>
    <row r="1030" spans="15:15" x14ac:dyDescent="0.4">
      <c r="O1030" s="6"/>
    </row>
    <row r="1031" spans="15:15" x14ac:dyDescent="0.4">
      <c r="O1031" s="6"/>
    </row>
    <row r="1032" spans="15:15" x14ac:dyDescent="0.4">
      <c r="O1032" s="6"/>
    </row>
    <row r="1033" spans="15:15" x14ac:dyDescent="0.4">
      <c r="O1033" s="6"/>
    </row>
    <row r="1034" spans="15:15" x14ac:dyDescent="0.4">
      <c r="O1034" s="6"/>
    </row>
    <row r="1035" spans="15:15" x14ac:dyDescent="0.4">
      <c r="O1035" s="6"/>
    </row>
    <row r="1036" spans="15:15" x14ac:dyDescent="0.4">
      <c r="O1036" s="6"/>
    </row>
    <row r="1037" spans="15:15" x14ac:dyDescent="0.4">
      <c r="O1037" s="6"/>
    </row>
    <row r="1038" spans="15:15" x14ac:dyDescent="0.4">
      <c r="O1038" s="6"/>
    </row>
    <row r="1039" spans="15:15" x14ac:dyDescent="0.4">
      <c r="O1039" s="6"/>
    </row>
    <row r="1040" spans="15:15" x14ac:dyDescent="0.4">
      <c r="O1040" s="6"/>
    </row>
    <row r="1041" spans="15:15" x14ac:dyDescent="0.4">
      <c r="O1041" s="6"/>
    </row>
    <row r="1042" spans="15:15" x14ac:dyDescent="0.4">
      <c r="O1042" s="6"/>
    </row>
    <row r="1043" spans="15:15" x14ac:dyDescent="0.4">
      <c r="O1043" s="6"/>
    </row>
    <row r="1044" spans="15:15" x14ac:dyDescent="0.4">
      <c r="O1044" s="6"/>
    </row>
  </sheetData>
  <sortState ref="A4:P4">
    <sortCondition ref="O4"/>
  </sortState>
  <phoneticPr fontId="1" type="noConversion"/>
  <conditionalFormatting sqref="A5:P1045">
    <cfRule type="expression" dxfId="59" priority="11">
      <formula>MOD(ROW(),2)=1</formula>
    </cfRule>
  </conditionalFormatting>
  <conditionalFormatting sqref="E5:F5 E7:F104">
    <cfRule type="notContainsBlanks" dxfId="58" priority="8">
      <formula>LEN(TRIM(E5))&gt;0</formula>
    </cfRule>
  </conditionalFormatting>
  <conditionalFormatting sqref="O5:O12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57" priority="2">
      <formula>MOD(ROW(),2)=1</formula>
    </cfRule>
  </conditionalFormatting>
  <conditionalFormatting sqref="I5:K104 I101:J127">
    <cfRule type="notContainsBlanks" dxfId="56" priority="1">
      <formula>LEN(TRIM(I5))&gt;0</formula>
    </cfRule>
  </conditionalFormatting>
  <conditionalFormatting sqref="B5:B1045">
    <cfRule type="containsText" dxfId="55" priority="3" operator="containsText" text="sit">
      <formula>NOT(ISERROR(SEARCH("sit",B5)))</formula>
    </cfRule>
    <cfRule type="containsText" dxfId="54" priority="4" operator="containsText" text="pat">
      <formula>NOT(ISERROR(SEARCH("pat",B5)))</formula>
    </cfRule>
    <cfRule type="containsText" dxfId="53" priority="9" operator="containsText" text="extra">
      <formula>NOT(ISERROR(SEARCH("extra",B5)))</formula>
    </cfRule>
    <cfRule type="containsText" dxfId="52" priority="10" operator="containsText" text="jmc">
      <formula>NOT(ISERROR(SEARCH("jmc",B5)))</formula>
    </cfRule>
  </conditionalFormatting>
  <pageMargins left="0.7" right="0.7" top="0.75" bottom="0.75" header="0.3" footer="0.3"/>
  <pageSetup paperSize="0" orientation="portrait" horizontalDpi="203" verticalDpi="203" r:id="rId1"/>
  <ignoredErrors>
    <ignoredError sqref="V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0</xdr:rowOff>
                  </from>
                  <to>
                    <xdr:col>3</xdr:col>
                    <xdr:colOff>2316480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Button 5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Button 6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0</xdr:rowOff>
                  </from>
                  <to>
                    <xdr:col>4</xdr:col>
                    <xdr:colOff>259080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Button 7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0</xdr:rowOff>
                  </from>
                  <to>
                    <xdr:col>3</xdr:col>
                    <xdr:colOff>1417320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Button 8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9" name="Button 9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0" name="Button 10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11" name="Button 11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L15" sqref="L15"/>
    </sheetView>
  </sheetViews>
  <sheetFormatPr defaultRowHeight="17.399999999999999" x14ac:dyDescent="0.4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7" customFormat="1" x14ac:dyDescent="0.4">
      <c r="A1" s="16" t="s">
        <v>241</v>
      </c>
      <c r="B1" s="7" t="s">
        <v>141</v>
      </c>
      <c r="C1" s="7" t="s">
        <v>142</v>
      </c>
      <c r="F1" s="9"/>
      <c r="G1" s="14"/>
      <c r="L1" s="1" t="s">
        <v>234</v>
      </c>
      <c r="M1" s="1"/>
      <c r="N1" s="11"/>
      <c r="O1" s="12">
        <f>IFERROR(SUM(L:L)/SUM(N:N),"")</f>
        <v>0.83333333333333337</v>
      </c>
      <c r="S1" s="16" t="s">
        <v>240</v>
      </c>
    </row>
    <row r="2" spans="1:22" s="7" customFormat="1" x14ac:dyDescent="0.4">
      <c r="B2" s="7" t="s">
        <v>143</v>
      </c>
      <c r="C2" s="7" t="s">
        <v>144</v>
      </c>
      <c r="L2" s="1" t="s">
        <v>235</v>
      </c>
      <c r="M2" s="1"/>
      <c r="N2" s="11"/>
      <c r="O2" s="8">
        <v>6</v>
      </c>
      <c r="S2" s="11" t="s">
        <v>242</v>
      </c>
      <c r="T2" s="15">
        <v>42452</v>
      </c>
    </row>
    <row r="3" spans="1:22" s="7" customFormat="1" x14ac:dyDescent="0.4">
      <c r="B3" s="9"/>
      <c r="C3" s="9"/>
      <c r="S3" s="11" t="s">
        <v>239</v>
      </c>
      <c r="T3" s="15">
        <f ca="1">TODAY()</f>
        <v>42704</v>
      </c>
      <c r="U3" s="17" t="str">
        <f ca="1">NETWORKDAYS(T2,T3)&amp;"일째"</f>
        <v>181일째</v>
      </c>
      <c r="V3" s="19" t="str">
        <f ca="1">ROUNDUP(SUM(U5:U249)/NETWORKDAYS(T2,T3),0)&amp;"개/1일"</f>
        <v>0개/1일</v>
      </c>
    </row>
    <row r="4" spans="1:22" x14ac:dyDescent="0.4">
      <c r="A4" s="3" t="s">
        <v>1</v>
      </c>
      <c r="B4" s="4" t="s">
        <v>2</v>
      </c>
      <c r="C4" s="4" t="s">
        <v>424</v>
      </c>
      <c r="D4" s="4" t="s">
        <v>425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 ht="16.5" x14ac:dyDescent="0.3">
      <c r="A5">
        <v>1</v>
      </c>
      <c r="B5" t="s">
        <v>428</v>
      </c>
      <c r="C5" s="9" t="s">
        <v>423</v>
      </c>
      <c r="D5" t="s">
        <v>426</v>
      </c>
      <c r="E5" s="5"/>
      <c r="L5">
        <v>1</v>
      </c>
      <c r="N5">
        <f t="shared" ref="N5:N68" si="0">IFERROR(IF(L5+M5=0,"",L5+M5),"")</f>
        <v>1</v>
      </c>
      <c r="O5" s="6">
        <f t="shared" ref="O5:O68" si="1">IFERROR(L5/(M5+L5),"")</f>
        <v>1</v>
      </c>
      <c r="P5">
        <v>101.95538330078125</v>
      </c>
      <c r="S5">
        <v>1</v>
      </c>
      <c r="T5" s="13"/>
    </row>
    <row r="6" spans="1:22" ht="16.5" x14ac:dyDescent="0.3">
      <c r="A6">
        <v>2</v>
      </c>
      <c r="B6" t="s">
        <v>428</v>
      </c>
      <c r="C6" s="9" t="s">
        <v>427</v>
      </c>
      <c r="D6" t="s">
        <v>429</v>
      </c>
      <c r="L6">
        <v>1</v>
      </c>
      <c r="N6">
        <f t="shared" si="0"/>
        <v>1</v>
      </c>
      <c r="O6" s="6">
        <f t="shared" si="1"/>
        <v>1</v>
      </c>
      <c r="P6">
        <v>134.46536254882812</v>
      </c>
      <c r="S6">
        <v>2</v>
      </c>
      <c r="T6" s="13"/>
    </row>
    <row r="7" spans="1:22" ht="16.5" x14ac:dyDescent="0.3">
      <c r="A7">
        <v>3</v>
      </c>
      <c r="B7" t="s">
        <v>434</v>
      </c>
      <c r="C7" s="9" t="s">
        <v>430</v>
      </c>
      <c r="D7" t="s">
        <v>431</v>
      </c>
      <c r="E7" s="5"/>
      <c r="F7" s="5"/>
      <c r="L7">
        <v>1</v>
      </c>
      <c r="N7">
        <f t="shared" si="0"/>
        <v>1</v>
      </c>
      <c r="O7" s="6">
        <f t="shared" si="1"/>
        <v>1</v>
      </c>
      <c r="P7">
        <v>88.003082275390625</v>
      </c>
      <c r="S7">
        <v>3</v>
      </c>
      <c r="T7" s="13"/>
    </row>
    <row r="8" spans="1:22" ht="16.5" x14ac:dyDescent="0.3">
      <c r="A8">
        <v>4</v>
      </c>
      <c r="B8" t="s">
        <v>428</v>
      </c>
      <c r="C8" s="9" t="s">
        <v>432</v>
      </c>
      <c r="D8" t="s">
        <v>433</v>
      </c>
      <c r="E8" s="5"/>
      <c r="L8">
        <v>1</v>
      </c>
      <c r="M8">
        <v>1</v>
      </c>
      <c r="N8">
        <f t="shared" si="0"/>
        <v>2</v>
      </c>
      <c r="O8" s="6">
        <f t="shared" si="1"/>
        <v>0.5</v>
      </c>
      <c r="P8">
        <v>100.43838500976562</v>
      </c>
      <c r="S8">
        <v>4</v>
      </c>
      <c r="T8" s="13"/>
    </row>
    <row r="9" spans="1:22" ht="16.5" x14ac:dyDescent="0.3">
      <c r="A9">
        <v>5</v>
      </c>
      <c r="B9" t="s">
        <v>434</v>
      </c>
      <c r="C9" s="9" t="s">
        <v>435</v>
      </c>
      <c r="D9" t="s">
        <v>436</v>
      </c>
      <c r="E9" s="5"/>
      <c r="L9">
        <v>1</v>
      </c>
      <c r="N9">
        <f t="shared" si="0"/>
        <v>1</v>
      </c>
      <c r="O9" s="6">
        <f t="shared" si="1"/>
        <v>1</v>
      </c>
      <c r="P9">
        <v>118.78005981445312</v>
      </c>
      <c r="S9">
        <v>5</v>
      </c>
      <c r="T9" s="13"/>
    </row>
    <row r="10" spans="1:22" ht="16.5" x14ac:dyDescent="0.3">
      <c r="A10">
        <v>6</v>
      </c>
      <c r="B10" t="s">
        <v>428</v>
      </c>
      <c r="C10" s="9" t="s">
        <v>437</v>
      </c>
      <c r="D10" t="s">
        <v>438</v>
      </c>
      <c r="E10" s="5"/>
      <c r="N10" t="str">
        <f t="shared" si="0"/>
        <v/>
      </c>
      <c r="O10" s="6" t="str">
        <f t="shared" si="1"/>
        <v/>
      </c>
      <c r="P10">
        <v>114.738037109375</v>
      </c>
      <c r="S10">
        <v>6</v>
      </c>
      <c r="T10" s="13"/>
    </row>
    <row r="11" spans="1:22" ht="16.5" x14ac:dyDescent="0.3">
      <c r="A11">
        <v>7</v>
      </c>
      <c r="B11" t="s">
        <v>434</v>
      </c>
      <c r="C11" s="9" t="s">
        <v>439</v>
      </c>
      <c r="D11" t="s">
        <v>440</v>
      </c>
      <c r="E11" s="5"/>
      <c r="N11" t="str">
        <f t="shared" si="0"/>
        <v/>
      </c>
      <c r="O11" s="6" t="str">
        <f t="shared" si="1"/>
        <v/>
      </c>
      <c r="P11">
        <v>125.891845703125</v>
      </c>
      <c r="S11">
        <v>7</v>
      </c>
      <c r="T11" s="13"/>
    </row>
    <row r="12" spans="1:22" ht="16.5" x14ac:dyDescent="0.3">
      <c r="A12">
        <v>8</v>
      </c>
      <c r="E12" s="5"/>
      <c r="N12" t="str">
        <f t="shared" si="0"/>
        <v/>
      </c>
      <c r="O12" s="6" t="str">
        <f t="shared" si="1"/>
        <v/>
      </c>
      <c r="P12">
        <v>113.47251892089844</v>
      </c>
      <c r="S12">
        <v>8</v>
      </c>
      <c r="T12" s="13"/>
    </row>
    <row r="13" spans="1:22" ht="16.5" x14ac:dyDescent="0.3">
      <c r="A13">
        <v>9</v>
      </c>
      <c r="E13" s="5"/>
      <c r="N13" t="str">
        <f t="shared" si="0"/>
        <v/>
      </c>
      <c r="O13" s="6" t="str">
        <f t="shared" si="1"/>
        <v/>
      </c>
      <c r="P13">
        <v>136.75260925292969</v>
      </c>
      <c r="S13">
        <v>9</v>
      </c>
      <c r="T13" s="13"/>
    </row>
    <row r="14" spans="1:22" ht="16.5" x14ac:dyDescent="0.3">
      <c r="A14">
        <v>10</v>
      </c>
      <c r="E14" s="5"/>
      <c r="N14" t="str">
        <f t="shared" si="0"/>
        <v/>
      </c>
      <c r="O14" s="6" t="str">
        <f t="shared" si="1"/>
        <v/>
      </c>
      <c r="P14">
        <v>98.793060302734375</v>
      </c>
      <c r="S14">
        <v>10</v>
      </c>
      <c r="T14" s="13"/>
    </row>
    <row r="15" spans="1:22" ht="16.5" x14ac:dyDescent="0.3">
      <c r="A15">
        <v>11</v>
      </c>
      <c r="E15" s="5"/>
      <c r="N15" t="str">
        <f t="shared" si="0"/>
        <v/>
      </c>
      <c r="O15" s="6" t="str">
        <f t="shared" si="1"/>
        <v/>
      </c>
      <c r="P15">
        <v>138.34638977050781</v>
      </c>
      <c r="S15">
        <v>11</v>
      </c>
      <c r="T15" s="13"/>
    </row>
    <row r="16" spans="1:22" ht="16.5" x14ac:dyDescent="0.3">
      <c r="A16">
        <v>12</v>
      </c>
      <c r="E16" s="5"/>
      <c r="N16" t="str">
        <f t="shared" si="0"/>
        <v/>
      </c>
      <c r="O16" s="6" t="str">
        <f t="shared" si="1"/>
        <v/>
      </c>
      <c r="P16">
        <v>90.008132934570313</v>
      </c>
      <c r="S16">
        <v>12</v>
      </c>
      <c r="T16" s="13"/>
    </row>
    <row r="17" spans="1:22" ht="16.5" x14ac:dyDescent="0.3">
      <c r="A17">
        <v>13</v>
      </c>
      <c r="E17" s="5"/>
      <c r="N17" t="str">
        <f t="shared" si="0"/>
        <v/>
      </c>
      <c r="O17" s="6" t="str">
        <f t="shared" si="1"/>
        <v/>
      </c>
      <c r="P17">
        <v>132.60737609863281</v>
      </c>
      <c r="S17">
        <v>13</v>
      </c>
      <c r="T17" s="13"/>
    </row>
    <row r="18" spans="1:22" ht="16.5" x14ac:dyDescent="0.3">
      <c r="A18">
        <v>14</v>
      </c>
      <c r="E18" s="5"/>
      <c r="N18" t="str">
        <f t="shared" si="0"/>
        <v/>
      </c>
      <c r="O18" s="6" t="str">
        <f t="shared" si="1"/>
        <v/>
      </c>
      <c r="P18">
        <v>115.72430419921875</v>
      </c>
      <c r="S18">
        <v>14</v>
      </c>
      <c r="T18" s="13"/>
    </row>
    <row r="19" spans="1:22" ht="16.5" x14ac:dyDescent="0.3">
      <c r="A19">
        <v>15</v>
      </c>
      <c r="E19" s="5"/>
      <c r="N19" t="str">
        <f t="shared" si="0"/>
        <v/>
      </c>
      <c r="O19" s="6" t="str">
        <f t="shared" si="1"/>
        <v/>
      </c>
      <c r="P19">
        <v>120.54977416992187</v>
      </c>
      <c r="S19">
        <v>15</v>
      </c>
      <c r="T19" s="13"/>
    </row>
    <row r="20" spans="1:22" ht="16.5" x14ac:dyDescent="0.3">
      <c r="A20">
        <v>16</v>
      </c>
      <c r="E20" s="5"/>
      <c r="N20" t="str">
        <f t="shared" si="0"/>
        <v/>
      </c>
      <c r="O20" s="6" t="str">
        <f t="shared" si="1"/>
        <v/>
      </c>
      <c r="P20">
        <v>84.76708984375</v>
      </c>
      <c r="S20">
        <v>16</v>
      </c>
      <c r="T20" s="13"/>
    </row>
    <row r="21" spans="1:22" ht="16.5" x14ac:dyDescent="0.3">
      <c r="A21">
        <v>17</v>
      </c>
      <c r="E21" s="5"/>
      <c r="N21" t="str">
        <f t="shared" si="0"/>
        <v/>
      </c>
      <c r="O21" s="6" t="str">
        <f t="shared" si="1"/>
        <v/>
      </c>
      <c r="P21">
        <v>94.15399169921875</v>
      </c>
      <c r="S21">
        <v>17</v>
      </c>
      <c r="T21" s="13"/>
    </row>
    <row r="22" spans="1:22" ht="16.5" x14ac:dyDescent="0.3">
      <c r="A22">
        <v>18</v>
      </c>
      <c r="C22" s="10"/>
      <c r="E22" s="5"/>
      <c r="N22" t="str">
        <f t="shared" si="0"/>
        <v/>
      </c>
      <c r="O22" s="6" t="str">
        <f t="shared" si="1"/>
        <v/>
      </c>
      <c r="P22">
        <v>87.883193969726562</v>
      </c>
      <c r="S22">
        <v>18</v>
      </c>
      <c r="T22" s="13"/>
    </row>
    <row r="23" spans="1:22" ht="16.5" x14ac:dyDescent="0.3">
      <c r="A23">
        <v>19</v>
      </c>
      <c r="E23" s="5"/>
      <c r="N23" t="str">
        <f t="shared" si="0"/>
        <v/>
      </c>
      <c r="O23" s="6" t="str">
        <f t="shared" si="1"/>
        <v/>
      </c>
      <c r="P23">
        <v>124.24873352050781</v>
      </c>
      <c r="S23">
        <v>19</v>
      </c>
      <c r="T23" s="13"/>
    </row>
    <row r="24" spans="1:22" ht="16.5" x14ac:dyDescent="0.3">
      <c r="A24">
        <v>20</v>
      </c>
      <c r="E24" s="5"/>
      <c r="N24" t="str">
        <f t="shared" si="0"/>
        <v/>
      </c>
      <c r="O24" s="6" t="str">
        <f t="shared" si="1"/>
        <v/>
      </c>
      <c r="P24">
        <v>120.00538635253906</v>
      </c>
      <c r="S24">
        <v>20</v>
      </c>
      <c r="T24" s="13"/>
    </row>
    <row r="25" spans="1:22" ht="16.5" x14ac:dyDescent="0.3">
      <c r="A25">
        <v>21</v>
      </c>
      <c r="E25" s="5"/>
      <c r="N25" t="str">
        <f t="shared" si="0"/>
        <v/>
      </c>
      <c r="O25" s="6" t="str">
        <f t="shared" si="1"/>
        <v/>
      </c>
      <c r="P25">
        <v>123.68190002441406</v>
      </c>
      <c r="S25">
        <v>21</v>
      </c>
      <c r="T25" s="13"/>
    </row>
    <row r="26" spans="1:22" ht="16.5" x14ac:dyDescent="0.3">
      <c r="A26">
        <v>22</v>
      </c>
      <c r="E26" s="5"/>
      <c r="N26" t="str">
        <f t="shared" si="0"/>
        <v/>
      </c>
      <c r="O26" s="6" t="str">
        <f t="shared" si="1"/>
        <v/>
      </c>
      <c r="P26">
        <v>104.62139892578125</v>
      </c>
      <c r="S26">
        <v>22</v>
      </c>
      <c r="T26" s="13"/>
    </row>
    <row r="27" spans="1:22" ht="16.5" x14ac:dyDescent="0.3">
      <c r="A27">
        <v>23</v>
      </c>
      <c r="E27" s="5"/>
      <c r="N27" t="str">
        <f t="shared" si="0"/>
        <v/>
      </c>
      <c r="O27" s="6" t="str">
        <f t="shared" si="1"/>
        <v/>
      </c>
      <c r="P27">
        <v>120.40034484863281</v>
      </c>
      <c r="S27">
        <v>23</v>
      </c>
      <c r="T27" s="13"/>
    </row>
    <row r="28" spans="1:22" ht="16.5" x14ac:dyDescent="0.3">
      <c r="A28">
        <v>24</v>
      </c>
      <c r="E28" s="5"/>
      <c r="N28" t="str">
        <f t="shared" si="0"/>
        <v/>
      </c>
      <c r="O28" s="6" t="str">
        <f t="shared" si="1"/>
        <v/>
      </c>
      <c r="P28">
        <v>114.05499267578125</v>
      </c>
      <c r="S28">
        <v>24</v>
      </c>
      <c r="T28" s="13"/>
    </row>
    <row r="29" spans="1:22" ht="16.5" x14ac:dyDescent="0.3">
      <c r="A29">
        <v>25</v>
      </c>
      <c r="C29" s="10"/>
      <c r="E29" s="5"/>
      <c r="N29" t="str">
        <f t="shared" si="0"/>
        <v/>
      </c>
      <c r="O29" s="6" t="str">
        <f t="shared" si="1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 ht="16.5" x14ac:dyDescent="0.3">
      <c r="A30">
        <v>26</v>
      </c>
      <c r="E30" s="5"/>
      <c r="N30" t="str">
        <f t="shared" si="0"/>
        <v/>
      </c>
      <c r="O30" s="6" t="str">
        <f t="shared" si="1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 ht="16.5" x14ac:dyDescent="0.3">
      <c r="A31">
        <v>27</v>
      </c>
      <c r="E31" s="5"/>
      <c r="N31" t="str">
        <f t="shared" si="0"/>
        <v/>
      </c>
      <c r="O31" s="6" t="str">
        <f t="shared" si="1"/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 ht="16.5" x14ac:dyDescent="0.3">
      <c r="A32">
        <v>28</v>
      </c>
      <c r="E32" s="5"/>
      <c r="N32" t="str">
        <f t="shared" si="0"/>
        <v/>
      </c>
      <c r="O32" s="6" t="str">
        <f t="shared" si="1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 ht="16.5" x14ac:dyDescent="0.3">
      <c r="A33">
        <v>29</v>
      </c>
      <c r="E33" s="5"/>
      <c r="N33" t="str">
        <f t="shared" si="0"/>
        <v/>
      </c>
      <c r="O33" s="6" t="str">
        <f t="shared" si="1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 ht="16.5" x14ac:dyDescent="0.3">
      <c r="A34">
        <v>30</v>
      </c>
      <c r="E34" s="5"/>
      <c r="N34" t="str">
        <f t="shared" si="0"/>
        <v/>
      </c>
      <c r="O34" s="6" t="str">
        <f t="shared" si="1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 ht="16.5" x14ac:dyDescent="0.3">
      <c r="A35">
        <v>31</v>
      </c>
      <c r="E35" s="5"/>
      <c r="N35" t="str">
        <f t="shared" si="0"/>
        <v/>
      </c>
      <c r="O35" s="6" t="str">
        <f t="shared" si="1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 ht="16.5" x14ac:dyDescent="0.3">
      <c r="A36">
        <v>32</v>
      </c>
      <c r="E36" s="5"/>
      <c r="N36" t="str">
        <f t="shared" si="0"/>
        <v/>
      </c>
      <c r="O36" s="6" t="str">
        <f t="shared" si="1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 ht="16.5" x14ac:dyDescent="0.3">
      <c r="A37">
        <v>33</v>
      </c>
      <c r="E37" s="5"/>
      <c r="N37" t="str">
        <f t="shared" si="0"/>
        <v/>
      </c>
      <c r="O37" s="6" t="str">
        <f t="shared" si="1"/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 ht="16.5" x14ac:dyDescent="0.3">
      <c r="A38">
        <v>34</v>
      </c>
      <c r="E38" s="5"/>
      <c r="N38" t="str">
        <f t="shared" si="0"/>
        <v/>
      </c>
      <c r="O38" s="6" t="str">
        <f t="shared" si="1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 ht="16.5" x14ac:dyDescent="0.3">
      <c r="A39">
        <v>35</v>
      </c>
      <c r="E39" s="5"/>
      <c r="N39" t="str">
        <f t="shared" si="0"/>
        <v/>
      </c>
      <c r="O39" s="6" t="str">
        <f t="shared" si="1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 ht="16.5" x14ac:dyDescent="0.3">
      <c r="A40">
        <v>36</v>
      </c>
      <c r="E40" s="5"/>
      <c r="N40" t="str">
        <f t="shared" si="0"/>
        <v/>
      </c>
      <c r="O40" s="6" t="str">
        <f t="shared" si="1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 x14ac:dyDescent="0.4">
      <c r="A41">
        <v>37</v>
      </c>
      <c r="E41" s="5"/>
      <c r="N41" t="str">
        <f t="shared" si="0"/>
        <v/>
      </c>
      <c r="O41" s="6" t="str">
        <f t="shared" si="1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 x14ac:dyDescent="0.4">
      <c r="A42">
        <v>38</v>
      </c>
      <c r="E42" s="5"/>
      <c r="N42" t="str">
        <f t="shared" si="0"/>
        <v/>
      </c>
      <c r="O42" s="6" t="str">
        <f t="shared" si="1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 x14ac:dyDescent="0.4">
      <c r="A43">
        <v>39</v>
      </c>
      <c r="E43" s="5"/>
      <c r="N43" t="str">
        <f t="shared" si="0"/>
        <v/>
      </c>
      <c r="O43" s="6" t="str">
        <f t="shared" si="1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 x14ac:dyDescent="0.4">
      <c r="A44">
        <v>40</v>
      </c>
      <c r="E44" s="5"/>
      <c r="N44" t="str">
        <f t="shared" si="0"/>
        <v/>
      </c>
      <c r="O44" s="6" t="str">
        <f t="shared" si="1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 x14ac:dyDescent="0.4">
      <c r="A45">
        <v>41</v>
      </c>
      <c r="E45" s="5"/>
      <c r="N45" t="str">
        <f t="shared" si="0"/>
        <v/>
      </c>
      <c r="O45" s="6" t="str">
        <f t="shared" si="1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 x14ac:dyDescent="0.4">
      <c r="A46">
        <v>42</v>
      </c>
      <c r="E46" s="5"/>
      <c r="N46" t="str">
        <f t="shared" si="0"/>
        <v/>
      </c>
      <c r="O46" s="6" t="str">
        <f t="shared" si="1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 x14ac:dyDescent="0.4">
      <c r="A47">
        <v>43</v>
      </c>
      <c r="E47" s="5"/>
      <c r="N47" t="str">
        <f t="shared" si="0"/>
        <v/>
      </c>
      <c r="O47" s="6" t="str">
        <f t="shared" si="1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 x14ac:dyDescent="0.4">
      <c r="A48">
        <v>44</v>
      </c>
      <c r="E48" s="5"/>
      <c r="N48" t="str">
        <f t="shared" si="0"/>
        <v/>
      </c>
      <c r="O48" s="6" t="str">
        <f t="shared" si="1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 x14ac:dyDescent="0.4">
      <c r="A49">
        <v>45</v>
      </c>
      <c r="E49" s="5"/>
      <c r="N49" t="str">
        <f t="shared" si="0"/>
        <v/>
      </c>
      <c r="O49" s="6" t="str">
        <f t="shared" si="1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 x14ac:dyDescent="0.4">
      <c r="A50">
        <v>46</v>
      </c>
      <c r="E50" s="5"/>
      <c r="N50" t="str">
        <f t="shared" si="0"/>
        <v/>
      </c>
      <c r="O50" s="6" t="str">
        <f t="shared" si="1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 x14ac:dyDescent="0.4">
      <c r="A51">
        <v>47</v>
      </c>
      <c r="E51" s="5"/>
      <c r="N51" t="str">
        <f t="shared" si="0"/>
        <v/>
      </c>
      <c r="O51" s="6" t="str">
        <f t="shared" si="1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 x14ac:dyDescent="0.4">
      <c r="A52">
        <v>48</v>
      </c>
      <c r="E52" s="5"/>
      <c r="N52" t="str">
        <f t="shared" si="0"/>
        <v/>
      </c>
      <c r="O52" s="6" t="str">
        <f t="shared" si="1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 x14ac:dyDescent="0.4">
      <c r="A53">
        <v>49</v>
      </c>
      <c r="E53" s="5"/>
      <c r="N53" t="str">
        <f t="shared" si="0"/>
        <v/>
      </c>
      <c r="O53" s="6" t="str">
        <f t="shared" si="1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 x14ac:dyDescent="0.4">
      <c r="A54">
        <v>50</v>
      </c>
      <c r="E54" s="5"/>
      <c r="N54" t="str">
        <f t="shared" si="0"/>
        <v/>
      </c>
      <c r="O54" s="6" t="str">
        <f t="shared" si="1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 x14ac:dyDescent="0.4">
      <c r="A55">
        <v>51</v>
      </c>
      <c r="E55" s="5"/>
      <c r="N55" t="str">
        <f t="shared" si="0"/>
        <v/>
      </c>
      <c r="O55" s="6" t="str">
        <f t="shared" si="1"/>
        <v/>
      </c>
      <c r="P55">
        <v>71.315704345703125</v>
      </c>
      <c r="S55">
        <v>51</v>
      </c>
    </row>
    <row r="56" spans="1:22" x14ac:dyDescent="0.4">
      <c r="A56">
        <v>52</v>
      </c>
      <c r="E56" s="5"/>
      <c r="N56" t="str">
        <f t="shared" si="0"/>
        <v/>
      </c>
      <c r="O56" s="6" t="str">
        <f t="shared" si="1"/>
        <v/>
      </c>
      <c r="P56">
        <v>122.39285278320312</v>
      </c>
      <c r="S56">
        <v>52</v>
      </c>
    </row>
    <row r="57" spans="1:22" x14ac:dyDescent="0.4">
      <c r="A57">
        <v>53</v>
      </c>
      <c r="E57" s="5"/>
      <c r="N57" t="str">
        <f t="shared" si="0"/>
        <v/>
      </c>
      <c r="O57" s="6" t="str">
        <f t="shared" si="1"/>
        <v/>
      </c>
      <c r="P57">
        <v>90.881240844726563</v>
      </c>
      <c r="S57">
        <v>53</v>
      </c>
    </row>
    <row r="58" spans="1:22" x14ac:dyDescent="0.4">
      <c r="A58">
        <v>54</v>
      </c>
      <c r="E58" s="5"/>
      <c r="N58" t="str">
        <f t="shared" si="0"/>
        <v/>
      </c>
      <c r="O58" s="6" t="str">
        <f t="shared" si="1"/>
        <v/>
      </c>
      <c r="P58">
        <v>63.768272399902344</v>
      </c>
      <c r="S58">
        <v>54</v>
      </c>
    </row>
    <row r="59" spans="1:22" x14ac:dyDescent="0.4">
      <c r="A59">
        <v>55</v>
      </c>
      <c r="E59" s="5"/>
      <c r="N59" t="str">
        <f t="shared" si="0"/>
        <v/>
      </c>
      <c r="O59" s="6" t="str">
        <f t="shared" si="1"/>
        <v/>
      </c>
      <c r="P59">
        <v>90.789215087890625</v>
      </c>
      <c r="S59">
        <v>55</v>
      </c>
    </row>
    <row r="60" spans="1:22" x14ac:dyDescent="0.4">
      <c r="A60">
        <v>56</v>
      </c>
      <c r="E60" s="5"/>
      <c r="N60" t="str">
        <f t="shared" si="0"/>
        <v/>
      </c>
      <c r="O60" s="6" t="str">
        <f t="shared" si="1"/>
        <v/>
      </c>
      <c r="P60">
        <v>104.42417907714844</v>
      </c>
      <c r="S60">
        <v>56</v>
      </c>
    </row>
    <row r="61" spans="1:22" x14ac:dyDescent="0.4">
      <c r="A61">
        <v>57</v>
      </c>
      <c r="E61" s="5"/>
      <c r="N61" t="str">
        <f t="shared" si="0"/>
        <v/>
      </c>
      <c r="O61" s="6" t="str">
        <f t="shared" si="1"/>
        <v/>
      </c>
      <c r="P61">
        <v>76.130661010742188</v>
      </c>
      <c r="S61">
        <v>57</v>
      </c>
    </row>
    <row r="62" spans="1:22" x14ac:dyDescent="0.4">
      <c r="A62">
        <v>58</v>
      </c>
      <c r="E62" s="5"/>
      <c r="N62" t="str">
        <f t="shared" si="0"/>
        <v/>
      </c>
      <c r="O62" s="6" t="str">
        <f t="shared" si="1"/>
        <v/>
      </c>
      <c r="P62">
        <v>53.323745727539063</v>
      </c>
      <c r="S62">
        <v>58</v>
      </c>
    </row>
    <row r="63" spans="1:22" x14ac:dyDescent="0.4">
      <c r="A63">
        <v>59</v>
      </c>
      <c r="E63" s="5"/>
      <c r="N63" t="str">
        <f t="shared" si="0"/>
        <v/>
      </c>
      <c r="O63" s="6" t="str">
        <f t="shared" si="1"/>
        <v/>
      </c>
      <c r="P63">
        <v>38.363571166992188</v>
      </c>
      <c r="S63">
        <v>59</v>
      </c>
    </row>
    <row r="64" spans="1:22" x14ac:dyDescent="0.4">
      <c r="A64">
        <v>60</v>
      </c>
      <c r="E64" s="5"/>
      <c r="N64" t="str">
        <f t="shared" si="0"/>
        <v/>
      </c>
      <c r="O64" s="6" t="str">
        <f t="shared" si="1"/>
        <v/>
      </c>
      <c r="P64">
        <v>126.18891906738281</v>
      </c>
      <c r="S64">
        <v>60</v>
      </c>
    </row>
    <row r="65" spans="1:19" x14ac:dyDescent="0.4">
      <c r="A65">
        <v>61</v>
      </c>
      <c r="E65" s="5"/>
      <c r="N65" t="str">
        <f t="shared" si="0"/>
        <v/>
      </c>
      <c r="O65" s="6" t="str">
        <f t="shared" si="1"/>
        <v/>
      </c>
      <c r="P65">
        <v>77.706619262695313</v>
      </c>
      <c r="S65">
        <v>61</v>
      </c>
    </row>
    <row r="66" spans="1:19" x14ac:dyDescent="0.4">
      <c r="A66">
        <v>62</v>
      </c>
      <c r="E66" s="5"/>
      <c r="N66" t="str">
        <f t="shared" si="0"/>
        <v/>
      </c>
      <c r="O66" s="6" t="str">
        <f t="shared" si="1"/>
        <v/>
      </c>
      <c r="P66">
        <v>82.95220947265625</v>
      </c>
      <c r="S66">
        <v>62</v>
      </c>
    </row>
    <row r="67" spans="1:19" x14ac:dyDescent="0.4">
      <c r="A67">
        <v>63</v>
      </c>
      <c r="E67" s="5"/>
      <c r="N67" t="str">
        <f t="shared" si="0"/>
        <v/>
      </c>
      <c r="O67" s="6" t="str">
        <f t="shared" si="1"/>
        <v/>
      </c>
      <c r="P67">
        <v>37.274688720703125</v>
      </c>
      <c r="S67">
        <v>63</v>
      </c>
    </row>
    <row r="68" spans="1:19" x14ac:dyDescent="0.4">
      <c r="A68">
        <v>64</v>
      </c>
      <c r="E68" s="5"/>
      <c r="N68" t="str">
        <f t="shared" si="0"/>
        <v/>
      </c>
      <c r="O68" s="6" t="str">
        <f t="shared" si="1"/>
        <v/>
      </c>
      <c r="P68">
        <v>75.523513793945313</v>
      </c>
      <c r="S68">
        <v>64</v>
      </c>
    </row>
    <row r="69" spans="1:19" x14ac:dyDescent="0.4">
      <c r="A69">
        <v>65</v>
      </c>
      <c r="E69" s="5"/>
      <c r="N69" t="str">
        <f t="shared" ref="N69:N132" si="2">IFERROR(IF(L69+M69=0,"",L69+M69),"")</f>
        <v/>
      </c>
      <c r="O69" s="6" t="str">
        <f t="shared" ref="O69:O104" si="3">IFERROR(L69/(M69+L69),"")</f>
        <v/>
      </c>
      <c r="P69">
        <v>109.27604675292969</v>
      </c>
      <c r="S69">
        <v>65</v>
      </c>
    </row>
    <row r="70" spans="1:19" x14ac:dyDescent="0.4">
      <c r="A70">
        <v>66</v>
      </c>
      <c r="E70" s="5"/>
      <c r="N70" t="str">
        <f t="shared" si="2"/>
        <v/>
      </c>
      <c r="O70" s="6" t="str">
        <f t="shared" si="3"/>
        <v/>
      </c>
      <c r="P70">
        <v>68.765701293945313</v>
      </c>
      <c r="S70">
        <v>66</v>
      </c>
    </row>
    <row r="71" spans="1:19" x14ac:dyDescent="0.4">
      <c r="A71">
        <v>67</v>
      </c>
      <c r="E71" s="5"/>
      <c r="N71" t="str">
        <f t="shared" si="2"/>
        <v/>
      </c>
      <c r="O71" s="6" t="str">
        <f t="shared" si="3"/>
        <v/>
      </c>
      <c r="P71">
        <v>48.228851318359375</v>
      </c>
      <c r="S71">
        <v>67</v>
      </c>
    </row>
    <row r="72" spans="1:19" x14ac:dyDescent="0.4">
      <c r="A72">
        <v>68</v>
      </c>
      <c r="E72" s="5"/>
      <c r="N72" t="str">
        <f t="shared" si="2"/>
        <v/>
      </c>
      <c r="O72" s="6" t="str">
        <f t="shared" si="3"/>
        <v/>
      </c>
      <c r="P72">
        <v>47.903152465820313</v>
      </c>
      <c r="S72">
        <v>68</v>
      </c>
    </row>
    <row r="73" spans="1:19" x14ac:dyDescent="0.4">
      <c r="A73">
        <v>69</v>
      </c>
      <c r="E73" s="5"/>
      <c r="N73" t="str">
        <f t="shared" si="2"/>
        <v/>
      </c>
      <c r="O73" s="6" t="str">
        <f t="shared" si="3"/>
        <v/>
      </c>
      <c r="P73">
        <v>81.426986694335938</v>
      </c>
      <c r="S73">
        <v>69</v>
      </c>
    </row>
    <row r="74" spans="1:19" x14ac:dyDescent="0.4">
      <c r="A74">
        <v>70</v>
      </c>
      <c r="E74" s="5"/>
      <c r="N74" t="str">
        <f t="shared" si="2"/>
        <v/>
      </c>
      <c r="O74" s="6" t="str">
        <f t="shared" si="3"/>
        <v/>
      </c>
      <c r="P74">
        <v>64.411178588867187</v>
      </c>
      <c r="S74">
        <v>70</v>
      </c>
    </row>
    <row r="75" spans="1:19" x14ac:dyDescent="0.4">
      <c r="A75">
        <v>71</v>
      </c>
      <c r="E75" s="5"/>
      <c r="N75" t="str">
        <f t="shared" si="2"/>
        <v/>
      </c>
      <c r="O75" s="6" t="str">
        <f t="shared" si="3"/>
        <v/>
      </c>
      <c r="P75">
        <v>84.8056640625</v>
      </c>
      <c r="S75">
        <v>71</v>
      </c>
    </row>
    <row r="76" spans="1:19" x14ac:dyDescent="0.4">
      <c r="A76">
        <v>72</v>
      </c>
      <c r="E76" s="5"/>
      <c r="N76" t="str">
        <f t="shared" si="2"/>
        <v/>
      </c>
      <c r="O76" s="6" t="str">
        <f t="shared" si="3"/>
        <v/>
      </c>
      <c r="P76">
        <v>67.761215209960938</v>
      </c>
      <c r="S76">
        <v>72</v>
      </c>
    </row>
    <row r="77" spans="1:19" x14ac:dyDescent="0.4">
      <c r="A77">
        <v>73</v>
      </c>
      <c r="E77" s="5"/>
      <c r="N77" t="str">
        <f t="shared" si="2"/>
        <v/>
      </c>
      <c r="O77" s="6" t="str">
        <f t="shared" si="3"/>
        <v/>
      </c>
      <c r="P77">
        <v>55.019012451171875</v>
      </c>
      <c r="S77">
        <v>73</v>
      </c>
    </row>
    <row r="78" spans="1:19" x14ac:dyDescent="0.4">
      <c r="A78">
        <v>74</v>
      </c>
      <c r="E78" s="5"/>
      <c r="N78" t="str">
        <f t="shared" si="2"/>
        <v/>
      </c>
      <c r="O78" s="6" t="str">
        <f t="shared" si="3"/>
        <v/>
      </c>
      <c r="P78">
        <v>49.716873168945313</v>
      </c>
      <c r="S78">
        <v>74</v>
      </c>
    </row>
    <row r="79" spans="1:19" x14ac:dyDescent="0.4">
      <c r="A79">
        <v>75</v>
      </c>
      <c r="E79" s="5"/>
      <c r="N79" t="str">
        <f t="shared" si="2"/>
        <v/>
      </c>
      <c r="O79" s="6" t="str">
        <f t="shared" si="3"/>
        <v/>
      </c>
      <c r="P79">
        <v>34.708236694335938</v>
      </c>
      <c r="S79">
        <v>75</v>
      </c>
    </row>
    <row r="80" spans="1:19" x14ac:dyDescent="0.4">
      <c r="A80">
        <v>76</v>
      </c>
      <c r="E80" s="5"/>
      <c r="N80" t="str">
        <f t="shared" si="2"/>
        <v/>
      </c>
      <c r="O80" s="6" t="str">
        <f t="shared" si="3"/>
        <v/>
      </c>
      <c r="P80">
        <v>45.437057495117187</v>
      </c>
      <c r="S80">
        <v>76</v>
      </c>
    </row>
    <row r="81" spans="1:19" x14ac:dyDescent="0.4">
      <c r="A81">
        <v>77</v>
      </c>
      <c r="E81" s="5"/>
      <c r="N81" t="str">
        <f t="shared" si="2"/>
        <v/>
      </c>
      <c r="O81" s="6" t="str">
        <f t="shared" si="3"/>
        <v/>
      </c>
      <c r="P81">
        <v>99.811508178710938</v>
      </c>
      <c r="S81">
        <v>77</v>
      </c>
    </row>
    <row r="82" spans="1:19" x14ac:dyDescent="0.4">
      <c r="A82">
        <v>78</v>
      </c>
      <c r="E82" s="5"/>
      <c r="N82" t="str">
        <f t="shared" si="2"/>
        <v/>
      </c>
      <c r="O82" s="6" t="str">
        <f t="shared" si="3"/>
        <v/>
      </c>
      <c r="P82">
        <v>22.803359985351563</v>
      </c>
      <c r="S82">
        <v>78</v>
      </c>
    </row>
    <row r="83" spans="1:19" x14ac:dyDescent="0.4">
      <c r="A83">
        <v>79</v>
      </c>
      <c r="E83" s="5"/>
      <c r="N83" t="str">
        <f t="shared" si="2"/>
        <v/>
      </c>
      <c r="O83" s="6" t="str">
        <f t="shared" si="3"/>
        <v/>
      </c>
      <c r="P83">
        <v>23.5653076171875</v>
      </c>
      <c r="S83">
        <v>79</v>
      </c>
    </row>
    <row r="84" spans="1:19" x14ac:dyDescent="0.4">
      <c r="A84">
        <v>80</v>
      </c>
      <c r="E84" s="5"/>
      <c r="N84" t="str">
        <f t="shared" si="2"/>
        <v/>
      </c>
      <c r="O84" s="6" t="str">
        <f t="shared" si="3"/>
        <v/>
      </c>
      <c r="P84">
        <v>56.83306884765625</v>
      </c>
      <c r="S84">
        <v>80</v>
      </c>
    </row>
    <row r="85" spans="1:19" x14ac:dyDescent="0.4">
      <c r="A85">
        <v>81</v>
      </c>
      <c r="E85" s="5"/>
      <c r="N85" t="str">
        <f t="shared" si="2"/>
        <v/>
      </c>
      <c r="O85" s="6" t="str">
        <f t="shared" si="3"/>
        <v/>
      </c>
      <c r="P85">
        <v>57.448348999023438</v>
      </c>
      <c r="S85">
        <v>81</v>
      </c>
    </row>
    <row r="86" spans="1:19" x14ac:dyDescent="0.4">
      <c r="A86">
        <v>82</v>
      </c>
      <c r="E86" s="5"/>
      <c r="N86" t="str">
        <f t="shared" si="2"/>
        <v/>
      </c>
      <c r="O86" s="6" t="str">
        <f t="shared" si="3"/>
        <v/>
      </c>
      <c r="P86">
        <v>70.331893920898437</v>
      </c>
      <c r="S86">
        <v>82</v>
      </c>
    </row>
    <row r="87" spans="1:19" x14ac:dyDescent="0.4">
      <c r="A87">
        <v>83</v>
      </c>
      <c r="E87" s="5"/>
      <c r="N87" t="str">
        <f t="shared" si="2"/>
        <v/>
      </c>
      <c r="O87" s="6" t="str">
        <f t="shared" si="3"/>
        <v/>
      </c>
      <c r="P87">
        <v>95.318939208984375</v>
      </c>
      <c r="S87">
        <v>83</v>
      </c>
    </row>
    <row r="88" spans="1:19" x14ac:dyDescent="0.4">
      <c r="A88">
        <v>84</v>
      </c>
      <c r="E88" s="5"/>
      <c r="N88" t="str">
        <f t="shared" si="2"/>
        <v/>
      </c>
      <c r="O88" s="6" t="str">
        <f t="shared" si="3"/>
        <v/>
      </c>
      <c r="P88">
        <v>53.867111206054688</v>
      </c>
      <c r="S88">
        <v>84</v>
      </c>
    </row>
    <row r="89" spans="1:19" x14ac:dyDescent="0.4">
      <c r="A89">
        <v>85</v>
      </c>
      <c r="E89" s="5"/>
      <c r="N89" t="str">
        <f t="shared" si="2"/>
        <v/>
      </c>
      <c r="O89" s="6" t="str">
        <f t="shared" si="3"/>
        <v/>
      </c>
      <c r="P89">
        <v>15.866317749023438</v>
      </c>
      <c r="S89">
        <v>85</v>
      </c>
    </row>
    <row r="90" spans="1:19" x14ac:dyDescent="0.4">
      <c r="A90">
        <v>86</v>
      </c>
      <c r="E90" s="5"/>
      <c r="N90" t="str">
        <f t="shared" si="2"/>
        <v/>
      </c>
      <c r="O90" s="6" t="str">
        <f t="shared" si="3"/>
        <v/>
      </c>
      <c r="P90">
        <v>43.688583374023438</v>
      </c>
      <c r="S90">
        <v>86</v>
      </c>
    </row>
    <row r="91" spans="1:19" x14ac:dyDescent="0.4">
      <c r="A91">
        <v>87</v>
      </c>
      <c r="E91" s="5"/>
      <c r="N91" t="str">
        <f t="shared" si="2"/>
        <v/>
      </c>
      <c r="O91" s="6" t="str">
        <f t="shared" si="3"/>
        <v/>
      </c>
      <c r="P91">
        <v>17.853561401367188</v>
      </c>
      <c r="S91">
        <v>87</v>
      </c>
    </row>
    <row r="92" spans="1:19" x14ac:dyDescent="0.4">
      <c r="A92">
        <v>88</v>
      </c>
      <c r="E92" s="5"/>
      <c r="N92" t="str">
        <f t="shared" si="2"/>
        <v/>
      </c>
      <c r="O92" s="6" t="str">
        <f t="shared" si="3"/>
        <v/>
      </c>
      <c r="P92">
        <v>53.906265258789062</v>
      </c>
      <c r="S92">
        <v>88</v>
      </c>
    </row>
    <row r="93" spans="1:19" x14ac:dyDescent="0.4">
      <c r="A93">
        <v>89</v>
      </c>
      <c r="E93" s="5"/>
      <c r="N93" t="str">
        <f t="shared" si="2"/>
        <v/>
      </c>
      <c r="O93" s="6" t="str">
        <f t="shared" si="3"/>
        <v/>
      </c>
      <c r="P93">
        <v>71.328262329101562</v>
      </c>
      <c r="S93">
        <v>89</v>
      </c>
    </row>
    <row r="94" spans="1:19" x14ac:dyDescent="0.4">
      <c r="A94">
        <v>90</v>
      </c>
      <c r="E94" s="5"/>
      <c r="N94" t="str">
        <f t="shared" si="2"/>
        <v/>
      </c>
      <c r="O94" s="6" t="str">
        <f t="shared" si="3"/>
        <v/>
      </c>
      <c r="P94">
        <v>40.177574157714844</v>
      </c>
      <c r="S94">
        <v>90</v>
      </c>
    </row>
    <row r="95" spans="1:19" x14ac:dyDescent="0.4">
      <c r="A95">
        <v>91</v>
      </c>
      <c r="E95" s="5"/>
      <c r="N95" t="str">
        <f t="shared" si="2"/>
        <v/>
      </c>
      <c r="O95" s="6" t="str">
        <f t="shared" si="3"/>
        <v/>
      </c>
      <c r="P95">
        <v>46.741592407226563</v>
      </c>
      <c r="S95">
        <v>91</v>
      </c>
    </row>
    <row r="96" spans="1:19" x14ac:dyDescent="0.4">
      <c r="A96">
        <v>92</v>
      </c>
      <c r="E96" s="5"/>
      <c r="N96" t="str">
        <f t="shared" si="2"/>
        <v/>
      </c>
      <c r="O96" s="6" t="str">
        <f t="shared" si="3"/>
        <v/>
      </c>
      <c r="P96">
        <v>49.269256591796875</v>
      </c>
      <c r="S96">
        <v>92</v>
      </c>
    </row>
    <row r="97" spans="1:19" x14ac:dyDescent="0.4">
      <c r="A97">
        <v>93</v>
      </c>
      <c r="E97" s="5"/>
      <c r="N97" t="str">
        <f t="shared" si="2"/>
        <v/>
      </c>
      <c r="O97" s="6" t="str">
        <f t="shared" si="3"/>
        <v/>
      </c>
      <c r="P97">
        <v>10.782974243164063</v>
      </c>
      <c r="S97">
        <v>93</v>
      </c>
    </row>
    <row r="98" spans="1:19" x14ac:dyDescent="0.4">
      <c r="A98">
        <v>94</v>
      </c>
      <c r="E98" s="5"/>
      <c r="N98" t="str">
        <f t="shared" si="2"/>
        <v/>
      </c>
      <c r="O98" s="6" t="str">
        <f t="shared" si="3"/>
        <v/>
      </c>
      <c r="P98">
        <v>37.645767211914063</v>
      </c>
      <c r="S98">
        <v>94</v>
      </c>
    </row>
    <row r="99" spans="1:19" x14ac:dyDescent="0.4">
      <c r="A99">
        <v>95</v>
      </c>
      <c r="E99" s="5"/>
      <c r="N99" t="str">
        <f t="shared" si="2"/>
        <v/>
      </c>
      <c r="O99" s="6" t="str">
        <f t="shared" si="3"/>
        <v/>
      </c>
      <c r="P99">
        <v>3.21563720703125</v>
      </c>
      <c r="S99">
        <v>95</v>
      </c>
    </row>
    <row r="100" spans="1:19" x14ac:dyDescent="0.4">
      <c r="A100">
        <v>96</v>
      </c>
      <c r="E100" s="5"/>
      <c r="N100" t="str">
        <f t="shared" si="2"/>
        <v/>
      </c>
      <c r="O100" s="6" t="str">
        <f t="shared" si="3"/>
        <v/>
      </c>
      <c r="P100">
        <v>32.867019653320312</v>
      </c>
      <c r="S100">
        <v>96</v>
      </c>
    </row>
    <row r="101" spans="1:19" x14ac:dyDescent="0.4">
      <c r="A101">
        <v>97</v>
      </c>
      <c r="E101" s="5"/>
      <c r="N101" t="str">
        <f t="shared" si="2"/>
        <v/>
      </c>
      <c r="O101" s="6" t="str">
        <f t="shared" si="3"/>
        <v/>
      </c>
      <c r="P101">
        <v>71.332870483398438</v>
      </c>
      <c r="S101">
        <v>97</v>
      </c>
    </row>
    <row r="102" spans="1:19" x14ac:dyDescent="0.4">
      <c r="A102">
        <v>98</v>
      </c>
      <c r="E102" s="5"/>
      <c r="N102" t="str">
        <f t="shared" si="2"/>
        <v/>
      </c>
      <c r="O102" s="6" t="str">
        <f t="shared" si="3"/>
        <v/>
      </c>
      <c r="P102">
        <v>64.602890014648437</v>
      </c>
      <c r="S102">
        <v>98</v>
      </c>
    </row>
    <row r="103" spans="1:19" x14ac:dyDescent="0.4">
      <c r="A103">
        <v>99</v>
      </c>
      <c r="E103" s="5"/>
      <c r="N103" t="str">
        <f t="shared" si="2"/>
        <v/>
      </c>
      <c r="O103" s="6" t="str">
        <f t="shared" si="3"/>
        <v/>
      </c>
      <c r="P103">
        <v>21.474868774414063</v>
      </c>
      <c r="S103">
        <v>99</v>
      </c>
    </row>
    <row r="104" spans="1:19" x14ac:dyDescent="0.4">
      <c r="A104">
        <v>100</v>
      </c>
      <c r="E104" s="5"/>
      <c r="N104" t="str">
        <f t="shared" si="2"/>
        <v/>
      </c>
      <c r="O104" s="6" t="str">
        <f t="shared" si="3"/>
        <v/>
      </c>
      <c r="P104">
        <v>56.342315673828125</v>
      </c>
      <c r="S104">
        <v>100</v>
      </c>
    </row>
    <row r="105" spans="1:19" x14ac:dyDescent="0.4">
      <c r="A105">
        <v>101</v>
      </c>
      <c r="N105" t="str">
        <f t="shared" si="2"/>
        <v/>
      </c>
      <c r="O105" s="6"/>
      <c r="P105">
        <v>38.605972290039063</v>
      </c>
      <c r="S105">
        <v>101</v>
      </c>
    </row>
    <row r="106" spans="1:19" x14ac:dyDescent="0.4">
      <c r="A106">
        <v>102</v>
      </c>
      <c r="N106" t="str">
        <f t="shared" si="2"/>
        <v/>
      </c>
      <c r="O106" s="6"/>
      <c r="P106">
        <v>24.621597290039063</v>
      </c>
      <c r="S106">
        <v>102</v>
      </c>
    </row>
    <row r="107" spans="1:19" x14ac:dyDescent="0.4">
      <c r="A107">
        <v>103</v>
      </c>
      <c r="N107" t="str">
        <f t="shared" si="2"/>
        <v/>
      </c>
      <c r="O107" s="6"/>
      <c r="P107">
        <v>23.099502563476563</v>
      </c>
      <c r="S107">
        <v>103</v>
      </c>
    </row>
    <row r="108" spans="1:19" x14ac:dyDescent="0.4">
      <c r="A108">
        <v>104</v>
      </c>
      <c r="N108" t="str">
        <f t="shared" si="2"/>
        <v/>
      </c>
      <c r="O108" s="6"/>
      <c r="P108">
        <v>49.483978271484375</v>
      </c>
      <c r="S108">
        <v>104</v>
      </c>
    </row>
    <row r="109" spans="1:19" x14ac:dyDescent="0.4">
      <c r="A109">
        <v>105</v>
      </c>
      <c r="N109" t="str">
        <f t="shared" si="2"/>
        <v/>
      </c>
      <c r="O109" s="6"/>
      <c r="P109">
        <v>11.21075439453125</v>
      </c>
      <c r="S109">
        <v>105</v>
      </c>
    </row>
    <row r="110" spans="1:19" x14ac:dyDescent="0.4">
      <c r="A110">
        <v>106</v>
      </c>
      <c r="N110" t="str">
        <f t="shared" si="2"/>
        <v/>
      </c>
      <c r="O110" s="6"/>
      <c r="P110">
        <v>15.408157348632813</v>
      </c>
      <c r="S110">
        <v>106</v>
      </c>
    </row>
    <row r="111" spans="1:19" x14ac:dyDescent="0.4">
      <c r="A111">
        <v>107</v>
      </c>
      <c r="N111" t="str">
        <f t="shared" si="2"/>
        <v/>
      </c>
      <c r="O111" s="6"/>
      <c r="P111">
        <v>36.005859375</v>
      </c>
      <c r="S111">
        <v>107</v>
      </c>
    </row>
    <row r="112" spans="1:19" x14ac:dyDescent="0.4">
      <c r="A112">
        <v>108</v>
      </c>
      <c r="N112" t="str">
        <f t="shared" si="2"/>
        <v/>
      </c>
      <c r="O112" s="6"/>
      <c r="P112">
        <v>35.041946411132813</v>
      </c>
      <c r="S112">
        <v>108</v>
      </c>
    </row>
    <row r="113" spans="1:19" x14ac:dyDescent="0.4">
      <c r="A113">
        <v>109</v>
      </c>
      <c r="N113" t="str">
        <f t="shared" si="2"/>
        <v/>
      </c>
      <c r="O113" s="6"/>
      <c r="P113">
        <v>78.81011962890625</v>
      </c>
      <c r="S113">
        <v>109</v>
      </c>
    </row>
    <row r="114" spans="1:19" x14ac:dyDescent="0.4">
      <c r="A114">
        <v>110</v>
      </c>
      <c r="N114" t="str">
        <f t="shared" si="2"/>
        <v/>
      </c>
      <c r="O114" s="6"/>
      <c r="P114">
        <v>34.670089721679688</v>
      </c>
      <c r="S114">
        <v>110</v>
      </c>
    </row>
    <row r="115" spans="1:19" x14ac:dyDescent="0.4">
      <c r="A115">
        <v>111</v>
      </c>
      <c r="N115" t="str">
        <f t="shared" si="2"/>
        <v/>
      </c>
      <c r="O115" s="6"/>
      <c r="P115">
        <v>17.0068359375</v>
      </c>
      <c r="S115">
        <v>111</v>
      </c>
    </row>
    <row r="116" spans="1:19" x14ac:dyDescent="0.4">
      <c r="A116">
        <v>112</v>
      </c>
      <c r="N116" t="str">
        <f t="shared" si="2"/>
        <v/>
      </c>
      <c r="O116" s="6"/>
      <c r="P116">
        <v>26.162460327148438</v>
      </c>
      <c r="S116">
        <v>112</v>
      </c>
    </row>
    <row r="117" spans="1:19" x14ac:dyDescent="0.4">
      <c r="A117">
        <v>113</v>
      </c>
      <c r="N117" t="str">
        <f t="shared" si="2"/>
        <v/>
      </c>
      <c r="O117" s="6"/>
      <c r="P117">
        <v>33.041778564453125</v>
      </c>
      <c r="S117">
        <v>113</v>
      </c>
    </row>
    <row r="118" spans="1:19" x14ac:dyDescent="0.4">
      <c r="A118">
        <v>114</v>
      </c>
      <c r="N118" t="str">
        <f t="shared" si="2"/>
        <v/>
      </c>
      <c r="O118" s="6"/>
      <c r="P118">
        <v>63.338607788085938</v>
      </c>
      <c r="S118">
        <v>114</v>
      </c>
    </row>
    <row r="119" spans="1:19" x14ac:dyDescent="0.4">
      <c r="A119">
        <v>115</v>
      </c>
      <c r="N119" t="str">
        <f t="shared" si="2"/>
        <v/>
      </c>
      <c r="O119" s="6"/>
      <c r="P119">
        <v>14.439895629882812</v>
      </c>
      <c r="S119">
        <v>115</v>
      </c>
    </row>
    <row r="120" spans="1:19" x14ac:dyDescent="0.4">
      <c r="A120">
        <v>116</v>
      </c>
      <c r="N120" t="str">
        <f t="shared" si="2"/>
        <v/>
      </c>
      <c r="O120" s="6"/>
      <c r="P120">
        <v>75.724319458007812</v>
      </c>
      <c r="S120">
        <v>116</v>
      </c>
    </row>
    <row r="121" spans="1:19" x14ac:dyDescent="0.4">
      <c r="A121">
        <v>117</v>
      </c>
      <c r="N121" t="str">
        <f t="shared" si="2"/>
        <v/>
      </c>
      <c r="O121" s="6"/>
      <c r="P121">
        <v>22.962112426757813</v>
      </c>
      <c r="S121">
        <v>117</v>
      </c>
    </row>
    <row r="122" spans="1:19" x14ac:dyDescent="0.4">
      <c r="A122">
        <v>118</v>
      </c>
      <c r="N122" t="str">
        <f t="shared" si="2"/>
        <v/>
      </c>
      <c r="O122" s="6"/>
      <c r="P122">
        <v>17.963607788085937</v>
      </c>
      <c r="S122">
        <v>118</v>
      </c>
    </row>
    <row r="123" spans="1:19" x14ac:dyDescent="0.4">
      <c r="A123">
        <v>119</v>
      </c>
      <c r="N123" t="str">
        <f t="shared" si="2"/>
        <v/>
      </c>
      <c r="O123" s="6"/>
      <c r="P123">
        <v>45.448944091796875</v>
      </c>
      <c r="S123">
        <v>119</v>
      </c>
    </row>
    <row r="124" spans="1:19" x14ac:dyDescent="0.4">
      <c r="A124">
        <v>120</v>
      </c>
      <c r="N124" t="str">
        <f t="shared" si="2"/>
        <v/>
      </c>
      <c r="O124" s="6"/>
      <c r="P124">
        <v>6.8294219970703125</v>
      </c>
      <c r="S124">
        <v>120</v>
      </c>
    </row>
    <row r="125" spans="1:19" x14ac:dyDescent="0.4">
      <c r="A125">
        <v>121</v>
      </c>
      <c r="N125" t="str">
        <f t="shared" si="2"/>
        <v/>
      </c>
      <c r="O125" s="6"/>
      <c r="P125">
        <v>32.271499633789063</v>
      </c>
      <c r="S125">
        <v>121</v>
      </c>
    </row>
    <row r="126" spans="1:19" x14ac:dyDescent="0.4">
      <c r="A126">
        <v>122</v>
      </c>
      <c r="N126" t="str">
        <f t="shared" si="2"/>
        <v/>
      </c>
      <c r="O126" s="6"/>
      <c r="P126">
        <v>18.0362548828125</v>
      </c>
      <c r="S126">
        <v>122</v>
      </c>
    </row>
    <row r="127" spans="1:19" x14ac:dyDescent="0.4">
      <c r="A127">
        <v>123</v>
      </c>
      <c r="N127" t="str">
        <f t="shared" si="2"/>
        <v/>
      </c>
      <c r="O127" s="6"/>
      <c r="P127">
        <v>21.321624755859375</v>
      </c>
      <c r="S127">
        <v>123</v>
      </c>
    </row>
    <row r="128" spans="1:19" x14ac:dyDescent="0.4">
      <c r="A128">
        <v>124</v>
      </c>
      <c r="N128" t="str">
        <f t="shared" si="2"/>
        <v/>
      </c>
      <c r="O128" s="6"/>
      <c r="S128">
        <v>124</v>
      </c>
    </row>
    <row r="129" spans="1:19" x14ac:dyDescent="0.4">
      <c r="A129">
        <v>125</v>
      </c>
      <c r="N129" t="str">
        <f t="shared" si="2"/>
        <v/>
      </c>
      <c r="O129" s="6"/>
      <c r="S129">
        <v>125</v>
      </c>
    </row>
    <row r="130" spans="1:19" x14ac:dyDescent="0.4">
      <c r="A130">
        <v>126</v>
      </c>
      <c r="N130" t="str">
        <f t="shared" si="2"/>
        <v/>
      </c>
      <c r="O130" s="6"/>
      <c r="S130">
        <v>126</v>
      </c>
    </row>
    <row r="131" spans="1:19" x14ac:dyDescent="0.4">
      <c r="A131">
        <v>127</v>
      </c>
      <c r="N131" t="str">
        <f t="shared" si="2"/>
        <v/>
      </c>
      <c r="O131" s="6"/>
      <c r="S131">
        <v>127</v>
      </c>
    </row>
    <row r="132" spans="1:19" x14ac:dyDescent="0.4">
      <c r="A132">
        <v>128</v>
      </c>
      <c r="N132" t="str">
        <f t="shared" si="2"/>
        <v/>
      </c>
      <c r="O132" s="6"/>
      <c r="S132">
        <v>128</v>
      </c>
    </row>
    <row r="133" spans="1:19" x14ac:dyDescent="0.4">
      <c r="A133">
        <v>129</v>
      </c>
      <c r="N133" t="str">
        <f t="shared" ref="N133:N196" si="4">IFERROR(IF(L133+M133=0,"",L133+M133),"")</f>
        <v/>
      </c>
      <c r="O133" s="6"/>
      <c r="S133">
        <v>129</v>
      </c>
    </row>
    <row r="134" spans="1:19" x14ac:dyDescent="0.4">
      <c r="A134">
        <v>130</v>
      </c>
      <c r="N134" t="str">
        <f t="shared" si="4"/>
        <v/>
      </c>
      <c r="O134" s="6"/>
      <c r="S134">
        <v>130</v>
      </c>
    </row>
    <row r="135" spans="1:19" x14ac:dyDescent="0.4">
      <c r="A135">
        <v>131</v>
      </c>
      <c r="N135" t="str">
        <f t="shared" si="4"/>
        <v/>
      </c>
      <c r="O135" s="6"/>
      <c r="S135">
        <v>131</v>
      </c>
    </row>
    <row r="136" spans="1:19" x14ac:dyDescent="0.4">
      <c r="A136">
        <v>132</v>
      </c>
      <c r="N136" t="str">
        <f t="shared" si="4"/>
        <v/>
      </c>
      <c r="O136" s="6"/>
      <c r="S136">
        <v>132</v>
      </c>
    </row>
    <row r="137" spans="1:19" x14ac:dyDescent="0.4">
      <c r="A137">
        <v>133</v>
      </c>
      <c r="N137" t="str">
        <f t="shared" si="4"/>
        <v/>
      </c>
      <c r="O137" s="6"/>
      <c r="S137">
        <v>133</v>
      </c>
    </row>
    <row r="138" spans="1:19" x14ac:dyDescent="0.4">
      <c r="A138">
        <v>134</v>
      </c>
      <c r="N138" t="str">
        <f t="shared" si="4"/>
        <v/>
      </c>
      <c r="O138" s="6"/>
      <c r="S138">
        <v>134</v>
      </c>
    </row>
    <row r="139" spans="1:19" x14ac:dyDescent="0.4">
      <c r="A139">
        <v>135</v>
      </c>
      <c r="N139" t="str">
        <f t="shared" si="4"/>
        <v/>
      </c>
      <c r="O139" s="6"/>
      <c r="S139">
        <v>135</v>
      </c>
    </row>
    <row r="140" spans="1:19" x14ac:dyDescent="0.4">
      <c r="A140">
        <v>136</v>
      </c>
      <c r="N140" t="str">
        <f t="shared" si="4"/>
        <v/>
      </c>
      <c r="O140" s="6"/>
      <c r="S140">
        <v>136</v>
      </c>
    </row>
    <row r="141" spans="1:19" x14ac:dyDescent="0.4">
      <c r="A141">
        <v>137</v>
      </c>
      <c r="N141" t="str">
        <f t="shared" si="4"/>
        <v/>
      </c>
      <c r="O141" s="6"/>
      <c r="S141">
        <v>137</v>
      </c>
    </row>
    <row r="142" spans="1:19" x14ac:dyDescent="0.4">
      <c r="A142">
        <v>138</v>
      </c>
      <c r="N142" t="str">
        <f t="shared" si="4"/>
        <v/>
      </c>
      <c r="O142" s="6"/>
      <c r="S142">
        <v>138</v>
      </c>
    </row>
    <row r="143" spans="1:19" x14ac:dyDescent="0.4">
      <c r="A143">
        <v>139</v>
      </c>
      <c r="N143" t="str">
        <f t="shared" si="4"/>
        <v/>
      </c>
      <c r="O143" s="6"/>
      <c r="S143">
        <v>139</v>
      </c>
    </row>
    <row r="144" spans="1:19" x14ac:dyDescent="0.4">
      <c r="A144">
        <v>140</v>
      </c>
      <c r="N144" t="str">
        <f t="shared" si="4"/>
        <v/>
      </c>
      <c r="O144" s="6"/>
      <c r="S144">
        <v>140</v>
      </c>
    </row>
    <row r="145" spans="1:19" x14ac:dyDescent="0.4">
      <c r="A145">
        <v>141</v>
      </c>
      <c r="N145" t="str">
        <f t="shared" si="4"/>
        <v/>
      </c>
      <c r="O145" s="6"/>
      <c r="S145">
        <v>141</v>
      </c>
    </row>
    <row r="146" spans="1:19" x14ac:dyDescent="0.4">
      <c r="A146">
        <v>142</v>
      </c>
      <c r="N146" t="str">
        <f t="shared" si="4"/>
        <v/>
      </c>
      <c r="O146" s="6"/>
      <c r="S146">
        <v>142</v>
      </c>
    </row>
    <row r="147" spans="1:19" x14ac:dyDescent="0.4">
      <c r="A147">
        <v>143</v>
      </c>
      <c r="N147" t="str">
        <f t="shared" si="4"/>
        <v/>
      </c>
      <c r="O147" s="6"/>
      <c r="S147">
        <v>143</v>
      </c>
    </row>
    <row r="148" spans="1:19" x14ac:dyDescent="0.4">
      <c r="A148">
        <v>144</v>
      </c>
      <c r="N148" t="str">
        <f t="shared" si="4"/>
        <v/>
      </c>
      <c r="O148" s="6"/>
      <c r="S148">
        <v>144</v>
      </c>
    </row>
    <row r="149" spans="1:19" x14ac:dyDescent="0.4">
      <c r="A149">
        <v>145</v>
      </c>
      <c r="N149" t="str">
        <f t="shared" si="4"/>
        <v/>
      </c>
      <c r="O149" s="6"/>
      <c r="S149">
        <v>145</v>
      </c>
    </row>
    <row r="150" spans="1:19" x14ac:dyDescent="0.4">
      <c r="A150">
        <v>146</v>
      </c>
      <c r="N150" t="str">
        <f t="shared" si="4"/>
        <v/>
      </c>
      <c r="O150" s="6"/>
      <c r="S150">
        <v>146</v>
      </c>
    </row>
    <row r="151" spans="1:19" x14ac:dyDescent="0.4">
      <c r="A151">
        <v>147</v>
      </c>
      <c r="N151" t="str">
        <f t="shared" si="4"/>
        <v/>
      </c>
      <c r="O151" s="6"/>
      <c r="S151">
        <v>147</v>
      </c>
    </row>
    <row r="152" spans="1:19" x14ac:dyDescent="0.4">
      <c r="A152">
        <v>148</v>
      </c>
      <c r="N152" t="str">
        <f t="shared" si="4"/>
        <v/>
      </c>
      <c r="O152" s="6"/>
      <c r="S152">
        <v>148</v>
      </c>
    </row>
    <row r="153" spans="1:19" x14ac:dyDescent="0.4">
      <c r="A153">
        <v>149</v>
      </c>
      <c r="N153" t="str">
        <f t="shared" si="4"/>
        <v/>
      </c>
      <c r="O153" s="6"/>
      <c r="S153">
        <v>149</v>
      </c>
    </row>
    <row r="154" spans="1:19" x14ac:dyDescent="0.4">
      <c r="A154">
        <v>150</v>
      </c>
      <c r="N154" t="str">
        <f t="shared" si="4"/>
        <v/>
      </c>
      <c r="O154" s="6"/>
      <c r="S154">
        <v>150</v>
      </c>
    </row>
    <row r="155" spans="1:19" x14ac:dyDescent="0.4">
      <c r="A155">
        <v>151</v>
      </c>
      <c r="N155" t="str">
        <f t="shared" si="4"/>
        <v/>
      </c>
      <c r="O155" s="6"/>
      <c r="S155">
        <v>151</v>
      </c>
    </row>
    <row r="156" spans="1:19" x14ac:dyDescent="0.4">
      <c r="A156">
        <v>152</v>
      </c>
      <c r="N156" t="str">
        <f t="shared" si="4"/>
        <v/>
      </c>
      <c r="O156" s="6"/>
      <c r="S156">
        <v>152</v>
      </c>
    </row>
    <row r="157" spans="1:19" x14ac:dyDescent="0.4">
      <c r="A157">
        <v>153</v>
      </c>
      <c r="N157" t="str">
        <f t="shared" si="4"/>
        <v/>
      </c>
      <c r="O157" s="6"/>
      <c r="S157">
        <v>153</v>
      </c>
    </row>
    <row r="158" spans="1:19" x14ac:dyDescent="0.4">
      <c r="A158">
        <v>154</v>
      </c>
      <c r="N158" t="str">
        <f t="shared" si="4"/>
        <v/>
      </c>
      <c r="O158" s="6"/>
      <c r="S158">
        <v>154</v>
      </c>
    </row>
    <row r="159" spans="1:19" x14ac:dyDescent="0.4">
      <c r="A159">
        <v>155</v>
      </c>
      <c r="N159" t="str">
        <f t="shared" si="4"/>
        <v/>
      </c>
      <c r="O159" s="6"/>
      <c r="S159">
        <v>155</v>
      </c>
    </row>
    <row r="160" spans="1:19" x14ac:dyDescent="0.4">
      <c r="A160">
        <v>156</v>
      </c>
      <c r="N160" t="str">
        <f t="shared" si="4"/>
        <v/>
      </c>
      <c r="O160" s="6"/>
      <c r="S160">
        <v>156</v>
      </c>
    </row>
    <row r="161" spans="1:19" x14ac:dyDescent="0.4">
      <c r="A161">
        <v>157</v>
      </c>
      <c r="N161" t="str">
        <f t="shared" si="4"/>
        <v/>
      </c>
      <c r="O161" s="6"/>
      <c r="S161">
        <v>157</v>
      </c>
    </row>
    <row r="162" spans="1:19" x14ac:dyDescent="0.4">
      <c r="A162">
        <v>158</v>
      </c>
      <c r="N162" t="str">
        <f t="shared" si="4"/>
        <v/>
      </c>
      <c r="O162" s="6"/>
      <c r="S162">
        <v>158</v>
      </c>
    </row>
    <row r="163" spans="1:19" x14ac:dyDescent="0.4">
      <c r="A163">
        <v>159</v>
      </c>
      <c r="N163" t="str">
        <f t="shared" si="4"/>
        <v/>
      </c>
      <c r="O163" s="6"/>
      <c r="S163">
        <v>159</v>
      </c>
    </row>
    <row r="164" spans="1:19" x14ac:dyDescent="0.4">
      <c r="A164">
        <v>160</v>
      </c>
      <c r="N164" t="str">
        <f t="shared" si="4"/>
        <v/>
      </c>
      <c r="O164" s="6"/>
      <c r="S164">
        <v>160</v>
      </c>
    </row>
    <row r="165" spans="1:19" x14ac:dyDescent="0.4">
      <c r="A165">
        <v>161</v>
      </c>
      <c r="N165" t="str">
        <f t="shared" si="4"/>
        <v/>
      </c>
      <c r="O165" s="6"/>
      <c r="S165">
        <v>161</v>
      </c>
    </row>
    <row r="166" spans="1:19" x14ac:dyDescent="0.4">
      <c r="A166">
        <v>162</v>
      </c>
      <c r="N166" t="str">
        <f t="shared" si="4"/>
        <v/>
      </c>
      <c r="O166" s="6"/>
      <c r="S166">
        <v>162</v>
      </c>
    </row>
    <row r="167" spans="1:19" x14ac:dyDescent="0.4">
      <c r="A167">
        <v>163</v>
      </c>
      <c r="N167" t="str">
        <f t="shared" si="4"/>
        <v/>
      </c>
      <c r="O167" s="6"/>
      <c r="S167">
        <v>163</v>
      </c>
    </row>
    <row r="168" spans="1:19" x14ac:dyDescent="0.4">
      <c r="A168">
        <v>164</v>
      </c>
      <c r="N168" t="str">
        <f t="shared" si="4"/>
        <v/>
      </c>
      <c r="O168" s="6"/>
      <c r="S168">
        <v>164</v>
      </c>
    </row>
    <row r="169" spans="1:19" x14ac:dyDescent="0.4">
      <c r="A169">
        <v>165</v>
      </c>
      <c r="N169" t="str">
        <f t="shared" si="4"/>
        <v/>
      </c>
      <c r="O169" s="6"/>
      <c r="S169">
        <v>165</v>
      </c>
    </row>
    <row r="170" spans="1:19" x14ac:dyDescent="0.4">
      <c r="A170">
        <v>166</v>
      </c>
      <c r="N170" t="str">
        <f t="shared" si="4"/>
        <v/>
      </c>
      <c r="O170" s="6"/>
      <c r="S170">
        <v>166</v>
      </c>
    </row>
    <row r="171" spans="1:19" x14ac:dyDescent="0.4">
      <c r="A171">
        <v>167</v>
      </c>
      <c r="N171" t="str">
        <f t="shared" si="4"/>
        <v/>
      </c>
      <c r="O171" s="6"/>
      <c r="S171">
        <v>167</v>
      </c>
    </row>
    <row r="172" spans="1:19" x14ac:dyDescent="0.4">
      <c r="A172">
        <v>168</v>
      </c>
      <c r="N172" t="str">
        <f t="shared" si="4"/>
        <v/>
      </c>
      <c r="O172" s="6"/>
      <c r="S172">
        <v>168</v>
      </c>
    </row>
    <row r="173" spans="1:19" x14ac:dyDescent="0.4">
      <c r="A173">
        <v>169</v>
      </c>
      <c r="N173" t="str">
        <f t="shared" si="4"/>
        <v/>
      </c>
      <c r="O173" s="6"/>
      <c r="S173">
        <v>169</v>
      </c>
    </row>
    <row r="174" spans="1:19" x14ac:dyDescent="0.4">
      <c r="A174">
        <v>170</v>
      </c>
      <c r="N174" t="str">
        <f t="shared" si="4"/>
        <v/>
      </c>
      <c r="O174" s="6"/>
      <c r="S174">
        <v>170</v>
      </c>
    </row>
    <row r="175" spans="1:19" x14ac:dyDescent="0.4">
      <c r="A175">
        <v>171</v>
      </c>
      <c r="N175" t="str">
        <f t="shared" si="4"/>
        <v/>
      </c>
      <c r="O175" s="6"/>
      <c r="S175">
        <v>171</v>
      </c>
    </row>
    <row r="176" spans="1:19" x14ac:dyDescent="0.4">
      <c r="A176">
        <v>172</v>
      </c>
      <c r="N176" t="str">
        <f t="shared" si="4"/>
        <v/>
      </c>
      <c r="O176" s="6"/>
      <c r="S176">
        <v>172</v>
      </c>
    </row>
    <row r="177" spans="1:19" x14ac:dyDescent="0.4">
      <c r="A177">
        <v>173</v>
      </c>
      <c r="N177" t="str">
        <f t="shared" si="4"/>
        <v/>
      </c>
      <c r="O177" s="6"/>
      <c r="S177">
        <v>173</v>
      </c>
    </row>
    <row r="178" spans="1:19" x14ac:dyDescent="0.4">
      <c r="A178">
        <v>174</v>
      </c>
      <c r="N178" t="str">
        <f t="shared" si="4"/>
        <v/>
      </c>
      <c r="O178" s="6"/>
      <c r="S178">
        <v>174</v>
      </c>
    </row>
    <row r="179" spans="1:19" x14ac:dyDescent="0.4">
      <c r="A179">
        <v>175</v>
      </c>
      <c r="N179" t="str">
        <f t="shared" si="4"/>
        <v/>
      </c>
      <c r="O179" s="6"/>
      <c r="S179">
        <v>175</v>
      </c>
    </row>
    <row r="180" spans="1:19" x14ac:dyDescent="0.4">
      <c r="A180">
        <v>176</v>
      </c>
      <c r="N180" t="str">
        <f t="shared" si="4"/>
        <v/>
      </c>
      <c r="O180" s="6"/>
      <c r="S180">
        <v>176</v>
      </c>
    </row>
    <row r="181" spans="1:19" x14ac:dyDescent="0.4">
      <c r="A181">
        <v>177</v>
      </c>
      <c r="N181" t="str">
        <f t="shared" si="4"/>
        <v/>
      </c>
      <c r="O181" s="6"/>
      <c r="S181">
        <v>177</v>
      </c>
    </row>
    <row r="182" spans="1:19" x14ac:dyDescent="0.4">
      <c r="A182">
        <v>178</v>
      </c>
      <c r="N182" t="str">
        <f t="shared" si="4"/>
        <v/>
      </c>
      <c r="O182" s="6"/>
      <c r="S182">
        <v>178</v>
      </c>
    </row>
    <row r="183" spans="1:19" x14ac:dyDescent="0.4">
      <c r="A183">
        <v>179</v>
      </c>
      <c r="N183" t="str">
        <f t="shared" si="4"/>
        <v/>
      </c>
      <c r="O183" s="6"/>
      <c r="S183">
        <v>179</v>
      </c>
    </row>
    <row r="184" spans="1:19" x14ac:dyDescent="0.4">
      <c r="A184">
        <v>180</v>
      </c>
      <c r="N184" t="str">
        <f t="shared" si="4"/>
        <v/>
      </c>
      <c r="O184" s="6"/>
      <c r="S184">
        <v>180</v>
      </c>
    </row>
    <row r="185" spans="1:19" x14ac:dyDescent="0.4">
      <c r="A185">
        <v>181</v>
      </c>
      <c r="N185" t="str">
        <f t="shared" si="4"/>
        <v/>
      </c>
      <c r="O185" s="6"/>
      <c r="S185">
        <v>181</v>
      </c>
    </row>
    <row r="186" spans="1:19" x14ac:dyDescent="0.4">
      <c r="A186">
        <v>182</v>
      </c>
      <c r="N186" t="str">
        <f t="shared" si="4"/>
        <v/>
      </c>
      <c r="O186" s="6"/>
      <c r="S186">
        <v>182</v>
      </c>
    </row>
    <row r="187" spans="1:19" x14ac:dyDescent="0.4">
      <c r="A187">
        <v>183</v>
      </c>
      <c r="N187" t="str">
        <f t="shared" si="4"/>
        <v/>
      </c>
      <c r="O187" s="6"/>
      <c r="S187">
        <v>183</v>
      </c>
    </row>
    <row r="188" spans="1:19" x14ac:dyDescent="0.4">
      <c r="A188">
        <v>184</v>
      </c>
      <c r="N188" t="str">
        <f t="shared" si="4"/>
        <v/>
      </c>
      <c r="O188" s="6"/>
      <c r="S188">
        <v>184</v>
      </c>
    </row>
    <row r="189" spans="1:19" x14ac:dyDescent="0.4">
      <c r="A189">
        <v>185</v>
      </c>
      <c r="N189" t="str">
        <f t="shared" si="4"/>
        <v/>
      </c>
      <c r="O189" s="6"/>
      <c r="S189">
        <v>185</v>
      </c>
    </row>
    <row r="190" spans="1:19" x14ac:dyDescent="0.4">
      <c r="A190">
        <v>186</v>
      </c>
      <c r="N190" t="str">
        <f t="shared" si="4"/>
        <v/>
      </c>
      <c r="O190" s="6"/>
      <c r="S190">
        <v>186</v>
      </c>
    </row>
    <row r="191" spans="1:19" x14ac:dyDescent="0.4">
      <c r="A191">
        <v>187</v>
      </c>
      <c r="N191" t="str">
        <f t="shared" si="4"/>
        <v/>
      </c>
      <c r="O191" s="6"/>
      <c r="S191">
        <v>187</v>
      </c>
    </row>
    <row r="192" spans="1:19" x14ac:dyDescent="0.4">
      <c r="A192">
        <v>188</v>
      </c>
      <c r="N192" t="str">
        <f t="shared" si="4"/>
        <v/>
      </c>
      <c r="O192" s="6"/>
      <c r="S192">
        <v>188</v>
      </c>
    </row>
    <row r="193" spans="1:19" x14ac:dyDescent="0.4">
      <c r="A193">
        <v>189</v>
      </c>
      <c r="N193" t="str">
        <f t="shared" si="4"/>
        <v/>
      </c>
      <c r="O193" s="6"/>
      <c r="S193">
        <v>189</v>
      </c>
    </row>
    <row r="194" spans="1:19" x14ac:dyDescent="0.4">
      <c r="A194">
        <v>190</v>
      </c>
      <c r="N194" t="str">
        <f t="shared" si="4"/>
        <v/>
      </c>
      <c r="O194" s="6"/>
      <c r="S194">
        <v>190</v>
      </c>
    </row>
    <row r="195" spans="1:19" x14ac:dyDescent="0.4">
      <c r="A195">
        <v>191</v>
      </c>
      <c r="N195" t="str">
        <f t="shared" si="4"/>
        <v/>
      </c>
      <c r="O195" s="6"/>
      <c r="S195">
        <v>191</v>
      </c>
    </row>
    <row r="196" spans="1:19" x14ac:dyDescent="0.4">
      <c r="A196">
        <v>192</v>
      </c>
      <c r="N196" t="str">
        <f t="shared" si="4"/>
        <v/>
      </c>
      <c r="O196" s="6"/>
      <c r="S196">
        <v>192</v>
      </c>
    </row>
    <row r="197" spans="1:19" x14ac:dyDescent="0.4">
      <c r="A197">
        <v>193</v>
      </c>
      <c r="N197" t="str">
        <f t="shared" ref="N197:N254" si="5">IFERROR(IF(L197+M197=0,"",L197+M197),"")</f>
        <v/>
      </c>
      <c r="O197" s="6"/>
      <c r="S197">
        <v>193</v>
      </c>
    </row>
    <row r="198" spans="1:19" x14ac:dyDescent="0.4">
      <c r="A198">
        <v>194</v>
      </c>
      <c r="N198" t="str">
        <f t="shared" si="5"/>
        <v/>
      </c>
      <c r="O198" s="6"/>
      <c r="S198">
        <v>194</v>
      </c>
    </row>
    <row r="199" spans="1:19" x14ac:dyDescent="0.4">
      <c r="A199">
        <v>195</v>
      </c>
      <c r="N199" t="str">
        <f t="shared" si="5"/>
        <v/>
      </c>
      <c r="O199" s="6"/>
      <c r="S199">
        <v>195</v>
      </c>
    </row>
    <row r="200" spans="1:19" x14ac:dyDescent="0.4">
      <c r="A200">
        <v>196</v>
      </c>
      <c r="N200" t="str">
        <f t="shared" si="5"/>
        <v/>
      </c>
      <c r="O200" s="6"/>
      <c r="S200">
        <v>196</v>
      </c>
    </row>
    <row r="201" spans="1:19" x14ac:dyDescent="0.4">
      <c r="A201">
        <v>197</v>
      </c>
      <c r="N201" t="str">
        <f t="shared" si="5"/>
        <v/>
      </c>
      <c r="O201" s="6"/>
      <c r="S201">
        <v>197</v>
      </c>
    </row>
    <row r="202" spans="1:19" x14ac:dyDescent="0.4">
      <c r="A202">
        <v>198</v>
      </c>
      <c r="N202" t="str">
        <f t="shared" si="5"/>
        <v/>
      </c>
      <c r="O202" s="6"/>
      <c r="S202">
        <v>198</v>
      </c>
    </row>
    <row r="203" spans="1:19" x14ac:dyDescent="0.4">
      <c r="A203">
        <v>199</v>
      </c>
      <c r="N203" t="str">
        <f t="shared" si="5"/>
        <v/>
      </c>
      <c r="O203" s="6"/>
      <c r="S203">
        <v>199</v>
      </c>
    </row>
    <row r="204" spans="1:19" x14ac:dyDescent="0.4">
      <c r="A204">
        <v>200</v>
      </c>
      <c r="N204" t="str">
        <f t="shared" si="5"/>
        <v/>
      </c>
      <c r="O204" s="6"/>
      <c r="S204">
        <v>200</v>
      </c>
    </row>
    <row r="205" spans="1:19" x14ac:dyDescent="0.4">
      <c r="A205">
        <v>201</v>
      </c>
      <c r="N205" t="str">
        <f t="shared" si="5"/>
        <v/>
      </c>
      <c r="O205" s="6"/>
      <c r="S205">
        <v>201</v>
      </c>
    </row>
    <row r="206" spans="1:19" x14ac:dyDescent="0.4">
      <c r="A206">
        <v>202</v>
      </c>
      <c r="N206" t="str">
        <f t="shared" si="5"/>
        <v/>
      </c>
      <c r="O206" s="6"/>
      <c r="S206">
        <v>202</v>
      </c>
    </row>
    <row r="207" spans="1:19" x14ac:dyDescent="0.4">
      <c r="A207">
        <v>203</v>
      </c>
      <c r="N207" t="str">
        <f t="shared" si="5"/>
        <v/>
      </c>
      <c r="O207" s="6"/>
      <c r="S207">
        <v>203</v>
      </c>
    </row>
    <row r="208" spans="1:19" x14ac:dyDescent="0.4">
      <c r="A208">
        <v>204</v>
      </c>
      <c r="N208" t="str">
        <f t="shared" si="5"/>
        <v/>
      </c>
      <c r="O208" s="6"/>
      <c r="S208">
        <v>204</v>
      </c>
    </row>
    <row r="209" spans="1:19" x14ac:dyDescent="0.4">
      <c r="A209">
        <v>205</v>
      </c>
      <c r="N209" t="str">
        <f t="shared" si="5"/>
        <v/>
      </c>
      <c r="O209" s="6"/>
      <c r="S209">
        <v>205</v>
      </c>
    </row>
    <row r="210" spans="1:19" x14ac:dyDescent="0.4">
      <c r="A210">
        <v>206</v>
      </c>
      <c r="N210" t="str">
        <f t="shared" si="5"/>
        <v/>
      </c>
      <c r="O210" s="6"/>
      <c r="S210">
        <v>206</v>
      </c>
    </row>
    <row r="211" spans="1:19" x14ac:dyDescent="0.4">
      <c r="A211">
        <v>207</v>
      </c>
      <c r="N211" t="str">
        <f t="shared" si="5"/>
        <v/>
      </c>
      <c r="O211" s="6"/>
      <c r="S211">
        <v>207</v>
      </c>
    </row>
    <row r="212" spans="1:19" x14ac:dyDescent="0.4">
      <c r="A212">
        <v>208</v>
      </c>
      <c r="N212" t="str">
        <f t="shared" si="5"/>
        <v/>
      </c>
      <c r="O212" s="6"/>
      <c r="S212">
        <v>208</v>
      </c>
    </row>
    <row r="213" spans="1:19" x14ac:dyDescent="0.4">
      <c r="A213">
        <v>209</v>
      </c>
      <c r="N213" t="str">
        <f t="shared" si="5"/>
        <v/>
      </c>
      <c r="O213" s="6"/>
      <c r="S213">
        <v>209</v>
      </c>
    </row>
    <row r="214" spans="1:19" x14ac:dyDescent="0.4">
      <c r="A214">
        <v>210</v>
      </c>
      <c r="N214" t="str">
        <f t="shared" si="5"/>
        <v/>
      </c>
      <c r="O214" s="6"/>
      <c r="S214">
        <v>210</v>
      </c>
    </row>
    <row r="215" spans="1:19" x14ac:dyDescent="0.4">
      <c r="A215">
        <v>211</v>
      </c>
      <c r="N215" t="str">
        <f t="shared" si="5"/>
        <v/>
      </c>
      <c r="O215" s="6"/>
      <c r="S215">
        <v>211</v>
      </c>
    </row>
    <row r="216" spans="1:19" x14ac:dyDescent="0.4">
      <c r="A216">
        <v>212</v>
      </c>
      <c r="N216" t="str">
        <f t="shared" si="5"/>
        <v/>
      </c>
      <c r="O216" s="6"/>
      <c r="S216">
        <v>212</v>
      </c>
    </row>
    <row r="217" spans="1:19" x14ac:dyDescent="0.4">
      <c r="A217">
        <v>213</v>
      </c>
      <c r="N217" t="str">
        <f t="shared" si="5"/>
        <v/>
      </c>
      <c r="O217" s="6"/>
      <c r="S217">
        <v>213</v>
      </c>
    </row>
    <row r="218" spans="1:19" x14ac:dyDescent="0.4">
      <c r="A218">
        <v>214</v>
      </c>
      <c r="N218" t="str">
        <f t="shared" si="5"/>
        <v/>
      </c>
      <c r="O218" s="6"/>
      <c r="S218">
        <v>214</v>
      </c>
    </row>
    <row r="219" spans="1:19" x14ac:dyDescent="0.4">
      <c r="A219">
        <v>215</v>
      </c>
      <c r="N219" t="str">
        <f t="shared" si="5"/>
        <v/>
      </c>
      <c r="O219" s="6"/>
      <c r="S219">
        <v>215</v>
      </c>
    </row>
    <row r="220" spans="1:19" x14ac:dyDescent="0.4">
      <c r="A220">
        <v>216</v>
      </c>
      <c r="N220" t="str">
        <f t="shared" si="5"/>
        <v/>
      </c>
      <c r="O220" s="6"/>
      <c r="S220">
        <v>216</v>
      </c>
    </row>
    <row r="221" spans="1:19" x14ac:dyDescent="0.4">
      <c r="A221">
        <v>217</v>
      </c>
      <c r="N221" t="str">
        <f t="shared" si="5"/>
        <v/>
      </c>
      <c r="O221" s="6"/>
      <c r="S221">
        <v>217</v>
      </c>
    </row>
    <row r="222" spans="1:19" x14ac:dyDescent="0.4">
      <c r="A222">
        <v>218</v>
      </c>
      <c r="N222" t="str">
        <f t="shared" si="5"/>
        <v/>
      </c>
      <c r="O222" s="6"/>
      <c r="S222">
        <v>218</v>
      </c>
    </row>
    <row r="223" spans="1:19" x14ac:dyDescent="0.4">
      <c r="A223">
        <v>219</v>
      </c>
      <c r="N223" t="str">
        <f t="shared" si="5"/>
        <v/>
      </c>
      <c r="O223" s="6"/>
      <c r="S223">
        <v>219</v>
      </c>
    </row>
    <row r="224" spans="1:19" x14ac:dyDescent="0.4">
      <c r="A224">
        <v>220</v>
      </c>
      <c r="N224" t="str">
        <f t="shared" si="5"/>
        <v/>
      </c>
      <c r="O224" s="6"/>
      <c r="S224">
        <v>220</v>
      </c>
    </row>
    <row r="225" spans="1:19" x14ac:dyDescent="0.4">
      <c r="A225">
        <v>221</v>
      </c>
      <c r="N225" t="str">
        <f t="shared" si="5"/>
        <v/>
      </c>
      <c r="O225" s="6"/>
      <c r="S225">
        <v>221</v>
      </c>
    </row>
    <row r="226" spans="1:19" x14ac:dyDescent="0.4">
      <c r="A226">
        <v>222</v>
      </c>
      <c r="N226" t="str">
        <f t="shared" si="5"/>
        <v/>
      </c>
      <c r="O226" s="6"/>
      <c r="S226">
        <v>222</v>
      </c>
    </row>
    <row r="227" spans="1:19" x14ac:dyDescent="0.4">
      <c r="A227">
        <v>223</v>
      </c>
      <c r="N227" t="str">
        <f t="shared" si="5"/>
        <v/>
      </c>
      <c r="O227" s="6"/>
      <c r="S227">
        <v>223</v>
      </c>
    </row>
    <row r="228" spans="1:19" x14ac:dyDescent="0.4">
      <c r="A228">
        <v>224</v>
      </c>
      <c r="N228" t="str">
        <f t="shared" si="5"/>
        <v/>
      </c>
      <c r="O228" s="6"/>
      <c r="S228">
        <v>224</v>
      </c>
    </row>
    <row r="229" spans="1:19" x14ac:dyDescent="0.4">
      <c r="A229">
        <v>225</v>
      </c>
      <c r="N229" t="str">
        <f t="shared" si="5"/>
        <v/>
      </c>
      <c r="O229" s="6"/>
      <c r="S229">
        <v>225</v>
      </c>
    </row>
    <row r="230" spans="1:19" x14ac:dyDescent="0.4">
      <c r="A230">
        <v>226</v>
      </c>
      <c r="N230" t="str">
        <f t="shared" si="5"/>
        <v/>
      </c>
      <c r="O230" s="6"/>
      <c r="S230">
        <v>226</v>
      </c>
    </row>
    <row r="231" spans="1:19" x14ac:dyDescent="0.4">
      <c r="A231">
        <v>227</v>
      </c>
      <c r="N231" t="str">
        <f t="shared" si="5"/>
        <v/>
      </c>
      <c r="O231" s="6"/>
      <c r="S231">
        <v>227</v>
      </c>
    </row>
    <row r="232" spans="1:19" x14ac:dyDescent="0.4">
      <c r="A232">
        <v>228</v>
      </c>
      <c r="N232" t="str">
        <f t="shared" si="5"/>
        <v/>
      </c>
      <c r="O232" s="6"/>
      <c r="S232">
        <v>228</v>
      </c>
    </row>
    <row r="233" spans="1:19" x14ac:dyDescent="0.4">
      <c r="A233">
        <v>229</v>
      </c>
      <c r="N233" t="str">
        <f t="shared" si="5"/>
        <v/>
      </c>
      <c r="O233" s="6"/>
      <c r="S233">
        <v>229</v>
      </c>
    </row>
    <row r="234" spans="1:19" x14ac:dyDescent="0.4">
      <c r="A234">
        <v>230</v>
      </c>
      <c r="N234" t="str">
        <f t="shared" si="5"/>
        <v/>
      </c>
      <c r="O234" s="6"/>
      <c r="S234">
        <v>230</v>
      </c>
    </row>
    <row r="235" spans="1:19" x14ac:dyDescent="0.4">
      <c r="A235">
        <v>231</v>
      </c>
      <c r="N235" t="str">
        <f t="shared" si="5"/>
        <v/>
      </c>
      <c r="O235" s="6"/>
      <c r="S235">
        <v>231</v>
      </c>
    </row>
    <row r="236" spans="1:19" x14ac:dyDescent="0.4">
      <c r="A236">
        <v>232</v>
      </c>
      <c r="N236" t="str">
        <f t="shared" si="5"/>
        <v/>
      </c>
      <c r="O236" s="6"/>
      <c r="S236">
        <v>232</v>
      </c>
    </row>
    <row r="237" spans="1:19" x14ac:dyDescent="0.4">
      <c r="A237">
        <v>233</v>
      </c>
      <c r="N237" t="str">
        <f t="shared" si="5"/>
        <v/>
      </c>
      <c r="O237" s="6"/>
      <c r="S237">
        <v>233</v>
      </c>
    </row>
    <row r="238" spans="1:19" x14ac:dyDescent="0.4">
      <c r="A238">
        <v>234</v>
      </c>
      <c r="N238" t="str">
        <f t="shared" si="5"/>
        <v/>
      </c>
      <c r="O238" s="6"/>
      <c r="S238">
        <v>234</v>
      </c>
    </row>
    <row r="239" spans="1:19" x14ac:dyDescent="0.4">
      <c r="A239">
        <v>235</v>
      </c>
      <c r="N239" t="str">
        <f t="shared" si="5"/>
        <v/>
      </c>
      <c r="O239" s="6"/>
      <c r="S239">
        <v>235</v>
      </c>
    </row>
    <row r="240" spans="1:19" x14ac:dyDescent="0.4">
      <c r="A240">
        <v>236</v>
      </c>
      <c r="N240" t="str">
        <f t="shared" si="5"/>
        <v/>
      </c>
      <c r="O240" s="6"/>
      <c r="S240">
        <v>236</v>
      </c>
    </row>
    <row r="241" spans="1:19" x14ac:dyDescent="0.4">
      <c r="A241">
        <v>237</v>
      </c>
      <c r="N241" t="str">
        <f t="shared" si="5"/>
        <v/>
      </c>
      <c r="O241" s="6"/>
      <c r="S241">
        <v>237</v>
      </c>
    </row>
    <row r="242" spans="1:19" x14ac:dyDescent="0.4">
      <c r="A242">
        <v>238</v>
      </c>
      <c r="N242" t="str">
        <f t="shared" si="5"/>
        <v/>
      </c>
      <c r="O242" s="6"/>
      <c r="S242">
        <v>238</v>
      </c>
    </row>
    <row r="243" spans="1:19" x14ac:dyDescent="0.4">
      <c r="A243">
        <v>239</v>
      </c>
      <c r="N243" t="str">
        <f t="shared" si="5"/>
        <v/>
      </c>
      <c r="O243" s="6"/>
      <c r="S243">
        <v>239</v>
      </c>
    </row>
    <row r="244" spans="1:19" x14ac:dyDescent="0.4">
      <c r="A244">
        <v>240</v>
      </c>
      <c r="N244" t="str">
        <f t="shared" si="5"/>
        <v/>
      </c>
      <c r="O244" s="6"/>
      <c r="S244">
        <v>240</v>
      </c>
    </row>
    <row r="245" spans="1:19" x14ac:dyDescent="0.4">
      <c r="A245">
        <v>241</v>
      </c>
      <c r="N245" t="str">
        <f t="shared" si="5"/>
        <v/>
      </c>
      <c r="O245" s="6"/>
      <c r="S245">
        <v>241</v>
      </c>
    </row>
    <row r="246" spans="1:19" x14ac:dyDescent="0.4">
      <c r="A246">
        <v>242</v>
      </c>
      <c r="N246" t="str">
        <f t="shared" si="5"/>
        <v/>
      </c>
      <c r="O246" s="6"/>
      <c r="S246">
        <v>242</v>
      </c>
    </row>
    <row r="247" spans="1:19" x14ac:dyDescent="0.4">
      <c r="A247">
        <v>243</v>
      </c>
      <c r="N247" t="str">
        <f t="shared" si="5"/>
        <v/>
      </c>
      <c r="O247" s="6"/>
      <c r="S247">
        <v>243</v>
      </c>
    </row>
    <row r="248" spans="1:19" x14ac:dyDescent="0.4">
      <c r="A248">
        <v>244</v>
      </c>
      <c r="N248" t="str">
        <f t="shared" si="5"/>
        <v/>
      </c>
      <c r="O248" s="6"/>
      <c r="S248">
        <v>244</v>
      </c>
    </row>
    <row r="249" spans="1:19" x14ac:dyDescent="0.4">
      <c r="A249">
        <v>245</v>
      </c>
      <c r="N249" t="str">
        <f t="shared" si="5"/>
        <v/>
      </c>
      <c r="O249" s="6"/>
      <c r="S249">
        <v>245</v>
      </c>
    </row>
    <row r="250" spans="1:19" x14ac:dyDescent="0.4">
      <c r="A250">
        <v>246</v>
      </c>
      <c r="N250" t="str">
        <f t="shared" si="5"/>
        <v/>
      </c>
      <c r="O250" s="6"/>
      <c r="S250">
        <v>246</v>
      </c>
    </row>
    <row r="251" spans="1:19" x14ac:dyDescent="0.4">
      <c r="A251">
        <v>247</v>
      </c>
      <c r="N251" t="str">
        <f t="shared" si="5"/>
        <v/>
      </c>
      <c r="O251" s="6"/>
      <c r="S251">
        <v>247</v>
      </c>
    </row>
    <row r="252" spans="1:19" x14ac:dyDescent="0.4">
      <c r="A252">
        <v>248</v>
      </c>
      <c r="N252" t="str">
        <f t="shared" si="5"/>
        <v/>
      </c>
      <c r="O252" s="6"/>
      <c r="S252">
        <v>248</v>
      </c>
    </row>
    <row r="253" spans="1:19" x14ac:dyDescent="0.4">
      <c r="A253">
        <v>249</v>
      </c>
      <c r="N253" t="str">
        <f t="shared" si="5"/>
        <v/>
      </c>
      <c r="O253" s="6"/>
      <c r="S253">
        <v>249</v>
      </c>
    </row>
    <row r="254" spans="1:19" x14ac:dyDescent="0.4">
      <c r="A254">
        <v>250</v>
      </c>
      <c r="N254" t="str">
        <f t="shared" si="5"/>
        <v/>
      </c>
      <c r="O254" s="6"/>
      <c r="S254">
        <v>250</v>
      </c>
    </row>
    <row r="255" spans="1:19" x14ac:dyDescent="0.4">
      <c r="A255" t="s">
        <v>13</v>
      </c>
      <c r="B255" t="s">
        <v>13</v>
      </c>
      <c r="C255" t="s">
        <v>13</v>
      </c>
      <c r="D255" t="s">
        <v>13</v>
      </c>
      <c r="E255" t="s">
        <v>13</v>
      </c>
      <c r="F255" t="s">
        <v>13</v>
      </c>
      <c r="G255" t="s">
        <v>13</v>
      </c>
      <c r="H255" t="s">
        <v>13</v>
      </c>
      <c r="I255" t="s">
        <v>13</v>
      </c>
      <c r="J255" t="s">
        <v>13</v>
      </c>
      <c r="K255" t="s">
        <v>13</v>
      </c>
      <c r="L255" t="s">
        <v>13</v>
      </c>
      <c r="M255" t="s">
        <v>13</v>
      </c>
      <c r="O255" s="6"/>
    </row>
    <row r="256" spans="1:19" x14ac:dyDescent="0.4">
      <c r="O256" s="6"/>
    </row>
    <row r="257" spans="15:15" x14ac:dyDescent="0.4">
      <c r="O257" s="6"/>
    </row>
    <row r="258" spans="15:15" x14ac:dyDescent="0.4">
      <c r="O258" s="6"/>
    </row>
    <row r="259" spans="15:15" x14ac:dyDescent="0.4">
      <c r="O259" s="6"/>
    </row>
    <row r="260" spans="15:15" x14ac:dyDescent="0.4">
      <c r="O260" s="6"/>
    </row>
    <row r="261" spans="15:15" x14ac:dyDescent="0.4">
      <c r="O261" s="6"/>
    </row>
    <row r="262" spans="15:15" x14ac:dyDescent="0.4">
      <c r="O262" s="6"/>
    </row>
    <row r="263" spans="15:15" x14ac:dyDescent="0.4">
      <c r="O263" s="6"/>
    </row>
    <row r="264" spans="15:15" x14ac:dyDescent="0.4">
      <c r="O264" s="6"/>
    </row>
    <row r="265" spans="15:15" x14ac:dyDescent="0.4">
      <c r="O265" s="6"/>
    </row>
    <row r="266" spans="15:15" x14ac:dyDescent="0.4">
      <c r="O266" s="6"/>
    </row>
    <row r="267" spans="15:15" x14ac:dyDescent="0.4">
      <c r="O267" s="6"/>
    </row>
    <row r="268" spans="15:15" x14ac:dyDescent="0.4">
      <c r="O268" s="6"/>
    </row>
    <row r="269" spans="15:15" x14ac:dyDescent="0.4">
      <c r="O269" s="6"/>
    </row>
    <row r="270" spans="15:15" x14ac:dyDescent="0.4">
      <c r="O270" s="6"/>
    </row>
    <row r="271" spans="15:15" x14ac:dyDescent="0.4">
      <c r="O271" s="6"/>
    </row>
    <row r="272" spans="15:15" x14ac:dyDescent="0.4">
      <c r="O272" s="6"/>
    </row>
    <row r="273" spans="15:15" x14ac:dyDescent="0.4">
      <c r="O273" s="6"/>
    </row>
    <row r="274" spans="15:15" x14ac:dyDescent="0.4">
      <c r="O274" s="6"/>
    </row>
    <row r="275" spans="15:15" x14ac:dyDescent="0.4">
      <c r="O275" s="6"/>
    </row>
    <row r="276" spans="15:15" x14ac:dyDescent="0.4">
      <c r="O276" s="6"/>
    </row>
    <row r="277" spans="15:15" x14ac:dyDescent="0.4">
      <c r="O277" s="6"/>
    </row>
    <row r="278" spans="15:15" x14ac:dyDescent="0.4">
      <c r="O278" s="6"/>
    </row>
    <row r="279" spans="15:15" x14ac:dyDescent="0.4">
      <c r="O279" s="6"/>
    </row>
    <row r="280" spans="15:15" x14ac:dyDescent="0.4">
      <c r="O280" s="6"/>
    </row>
    <row r="281" spans="15:15" x14ac:dyDescent="0.4">
      <c r="O281" s="6"/>
    </row>
    <row r="282" spans="15:15" x14ac:dyDescent="0.4">
      <c r="O282" s="6"/>
    </row>
    <row r="283" spans="15:15" x14ac:dyDescent="0.4">
      <c r="O283" s="6"/>
    </row>
    <row r="284" spans="15:15" x14ac:dyDescent="0.4">
      <c r="O284" s="6"/>
    </row>
    <row r="285" spans="15:15" x14ac:dyDescent="0.4">
      <c r="O285" s="6"/>
    </row>
    <row r="286" spans="15:15" x14ac:dyDescent="0.4">
      <c r="O286" s="6"/>
    </row>
    <row r="287" spans="15:15" x14ac:dyDescent="0.4">
      <c r="O287" s="6"/>
    </row>
    <row r="288" spans="15:15" x14ac:dyDescent="0.4">
      <c r="O288" s="6"/>
    </row>
    <row r="289" spans="15:15" x14ac:dyDescent="0.4">
      <c r="O289" s="6"/>
    </row>
    <row r="290" spans="15:15" x14ac:dyDescent="0.4">
      <c r="O290" s="6"/>
    </row>
    <row r="291" spans="15:15" x14ac:dyDescent="0.4">
      <c r="O291" s="6"/>
    </row>
    <row r="292" spans="15:15" x14ac:dyDescent="0.4">
      <c r="O292" s="6"/>
    </row>
    <row r="293" spans="15:15" x14ac:dyDescent="0.4">
      <c r="O293" s="6"/>
    </row>
    <row r="294" spans="15:15" x14ac:dyDescent="0.4">
      <c r="O294" s="6"/>
    </row>
    <row r="295" spans="15:15" x14ac:dyDescent="0.4">
      <c r="O295" s="6"/>
    </row>
    <row r="296" spans="15:15" x14ac:dyDescent="0.4">
      <c r="O296" s="6"/>
    </row>
    <row r="297" spans="15:15" x14ac:dyDescent="0.4">
      <c r="O297" s="6"/>
    </row>
    <row r="298" spans="15:15" x14ac:dyDescent="0.4">
      <c r="O298" s="6"/>
    </row>
    <row r="299" spans="15:15" x14ac:dyDescent="0.4">
      <c r="O299" s="6"/>
    </row>
    <row r="300" spans="15:15" x14ac:dyDescent="0.4">
      <c r="O300" s="6"/>
    </row>
    <row r="301" spans="15:15" x14ac:dyDescent="0.4">
      <c r="O301" s="6"/>
    </row>
    <row r="302" spans="15:15" x14ac:dyDescent="0.4">
      <c r="O302" s="6"/>
    </row>
    <row r="303" spans="15:15" x14ac:dyDescent="0.4">
      <c r="O303" s="6"/>
    </row>
    <row r="304" spans="15:15" x14ac:dyDescent="0.4">
      <c r="O304" s="6"/>
    </row>
    <row r="305" spans="15:15" x14ac:dyDescent="0.4">
      <c r="O305" s="6"/>
    </row>
    <row r="306" spans="15:15" x14ac:dyDescent="0.4">
      <c r="O306" s="6"/>
    </row>
    <row r="307" spans="15:15" x14ac:dyDescent="0.4">
      <c r="O307" s="6"/>
    </row>
    <row r="308" spans="15:15" x14ac:dyDescent="0.4">
      <c r="O308" s="6"/>
    </row>
    <row r="309" spans="15:15" x14ac:dyDescent="0.4">
      <c r="O309" s="6"/>
    </row>
    <row r="310" spans="15:15" x14ac:dyDescent="0.4">
      <c r="O310" s="6"/>
    </row>
    <row r="311" spans="15:15" x14ac:dyDescent="0.4">
      <c r="O311" s="6"/>
    </row>
    <row r="312" spans="15:15" x14ac:dyDescent="0.4">
      <c r="O312" s="6"/>
    </row>
    <row r="313" spans="15:15" x14ac:dyDescent="0.4">
      <c r="O313" s="6"/>
    </row>
    <row r="314" spans="15:15" x14ac:dyDescent="0.4">
      <c r="O314" s="6"/>
    </row>
    <row r="315" spans="15:15" x14ac:dyDescent="0.4">
      <c r="O315" s="6"/>
    </row>
    <row r="316" spans="15:15" x14ac:dyDescent="0.4">
      <c r="O316" s="6"/>
    </row>
    <row r="317" spans="15:15" x14ac:dyDescent="0.4">
      <c r="O317" s="6"/>
    </row>
    <row r="318" spans="15:15" x14ac:dyDescent="0.4">
      <c r="O318" s="6"/>
    </row>
    <row r="319" spans="15:15" x14ac:dyDescent="0.4">
      <c r="O319" s="6"/>
    </row>
    <row r="320" spans="15:15" x14ac:dyDescent="0.4">
      <c r="O320" s="6"/>
    </row>
    <row r="321" spans="15:15" x14ac:dyDescent="0.4">
      <c r="O321" s="6"/>
    </row>
    <row r="322" spans="15:15" x14ac:dyDescent="0.4">
      <c r="O322" s="6"/>
    </row>
    <row r="323" spans="15:15" x14ac:dyDescent="0.4">
      <c r="O323" s="6"/>
    </row>
    <row r="324" spans="15:15" x14ac:dyDescent="0.4">
      <c r="O324" s="6"/>
    </row>
    <row r="325" spans="15:15" x14ac:dyDescent="0.4">
      <c r="O325" s="6"/>
    </row>
    <row r="326" spans="15:15" x14ac:dyDescent="0.4">
      <c r="O326" s="6"/>
    </row>
    <row r="327" spans="15:15" x14ac:dyDescent="0.4">
      <c r="O327" s="6"/>
    </row>
    <row r="328" spans="15:15" x14ac:dyDescent="0.4">
      <c r="O328" s="6"/>
    </row>
    <row r="329" spans="15:15" x14ac:dyDescent="0.4">
      <c r="O329" s="6"/>
    </row>
    <row r="330" spans="15:15" x14ac:dyDescent="0.4">
      <c r="O330" s="6"/>
    </row>
    <row r="331" spans="15:15" x14ac:dyDescent="0.4">
      <c r="O331" s="6"/>
    </row>
    <row r="332" spans="15:15" x14ac:dyDescent="0.4">
      <c r="O332" s="6"/>
    </row>
    <row r="333" spans="15:15" x14ac:dyDescent="0.4">
      <c r="O333" s="6"/>
    </row>
    <row r="334" spans="15:15" x14ac:dyDescent="0.4">
      <c r="O334" s="6"/>
    </row>
    <row r="335" spans="15:15" x14ac:dyDescent="0.4">
      <c r="O335" s="6"/>
    </row>
    <row r="336" spans="15:15" x14ac:dyDescent="0.4">
      <c r="O336" s="6"/>
    </row>
    <row r="337" spans="15:15" x14ac:dyDescent="0.4">
      <c r="O337" s="6"/>
    </row>
    <row r="338" spans="15:15" x14ac:dyDescent="0.4">
      <c r="O338" s="6"/>
    </row>
    <row r="339" spans="15:15" x14ac:dyDescent="0.4">
      <c r="O339" s="6"/>
    </row>
    <row r="340" spans="15:15" x14ac:dyDescent="0.4">
      <c r="O340" s="6"/>
    </row>
    <row r="341" spans="15:15" x14ac:dyDescent="0.4">
      <c r="O341" s="6"/>
    </row>
    <row r="342" spans="15:15" x14ac:dyDescent="0.4">
      <c r="O342" s="6"/>
    </row>
    <row r="343" spans="15:15" x14ac:dyDescent="0.4">
      <c r="O343" s="6"/>
    </row>
    <row r="344" spans="15:15" x14ac:dyDescent="0.4">
      <c r="O344" s="6"/>
    </row>
    <row r="345" spans="15:15" x14ac:dyDescent="0.4">
      <c r="O345" s="6"/>
    </row>
    <row r="346" spans="15:15" x14ac:dyDescent="0.4">
      <c r="O346" s="6"/>
    </row>
    <row r="347" spans="15:15" x14ac:dyDescent="0.4">
      <c r="O347" s="6"/>
    </row>
    <row r="348" spans="15:15" x14ac:dyDescent="0.4">
      <c r="O348" s="6"/>
    </row>
    <row r="349" spans="15:15" x14ac:dyDescent="0.4">
      <c r="O349" s="6"/>
    </row>
    <row r="350" spans="15:15" x14ac:dyDescent="0.4">
      <c r="O350" s="6"/>
    </row>
    <row r="351" spans="15:15" x14ac:dyDescent="0.4">
      <c r="O351" s="6"/>
    </row>
    <row r="352" spans="15:15" x14ac:dyDescent="0.4">
      <c r="O352" s="6"/>
    </row>
    <row r="353" spans="15:15" x14ac:dyDescent="0.4">
      <c r="O353" s="6"/>
    </row>
    <row r="354" spans="15:15" x14ac:dyDescent="0.4">
      <c r="O354" s="6"/>
    </row>
    <row r="355" spans="15:15" x14ac:dyDescent="0.4">
      <c r="O355" s="6"/>
    </row>
    <row r="356" spans="15:15" x14ac:dyDescent="0.4">
      <c r="O356" s="6"/>
    </row>
    <row r="357" spans="15:15" x14ac:dyDescent="0.4">
      <c r="O357" s="6"/>
    </row>
    <row r="358" spans="15:15" x14ac:dyDescent="0.4">
      <c r="O358" s="6"/>
    </row>
    <row r="359" spans="15:15" x14ac:dyDescent="0.4">
      <c r="O359" s="6"/>
    </row>
    <row r="360" spans="15:15" x14ac:dyDescent="0.4">
      <c r="O360" s="6"/>
    </row>
    <row r="361" spans="15:15" x14ac:dyDescent="0.4">
      <c r="O361" s="6"/>
    </row>
    <row r="362" spans="15:15" x14ac:dyDescent="0.4">
      <c r="O362" s="6"/>
    </row>
    <row r="363" spans="15:15" x14ac:dyDescent="0.4">
      <c r="O363" s="6"/>
    </row>
    <row r="364" spans="15:15" x14ac:dyDescent="0.4">
      <c r="O364" s="6"/>
    </row>
    <row r="365" spans="15:15" x14ac:dyDescent="0.4">
      <c r="O365" s="6"/>
    </row>
    <row r="366" spans="15:15" x14ac:dyDescent="0.4">
      <c r="O366" s="6"/>
    </row>
    <row r="367" spans="15:15" x14ac:dyDescent="0.4">
      <c r="O367" s="6"/>
    </row>
    <row r="368" spans="15:15" x14ac:dyDescent="0.4">
      <c r="O368" s="6"/>
    </row>
    <row r="369" spans="15:15" x14ac:dyDescent="0.4">
      <c r="O369" s="6"/>
    </row>
    <row r="370" spans="15:15" x14ac:dyDescent="0.4">
      <c r="O370" s="6"/>
    </row>
    <row r="371" spans="15:15" x14ac:dyDescent="0.4">
      <c r="O371" s="6"/>
    </row>
    <row r="372" spans="15:15" x14ac:dyDescent="0.4">
      <c r="O372" s="6"/>
    </row>
    <row r="373" spans="15:15" x14ac:dyDescent="0.4">
      <c r="O373" s="6"/>
    </row>
    <row r="374" spans="15:15" x14ac:dyDescent="0.4">
      <c r="O374" s="6"/>
    </row>
    <row r="375" spans="15:15" x14ac:dyDescent="0.4">
      <c r="O375" s="6"/>
    </row>
    <row r="376" spans="15:15" x14ac:dyDescent="0.4">
      <c r="O376" s="6"/>
    </row>
    <row r="377" spans="15:15" x14ac:dyDescent="0.4">
      <c r="O377" s="6"/>
    </row>
    <row r="378" spans="15:15" x14ac:dyDescent="0.4">
      <c r="O378" s="6"/>
    </row>
    <row r="379" spans="15:15" x14ac:dyDescent="0.4">
      <c r="O379" s="6"/>
    </row>
    <row r="380" spans="15:15" x14ac:dyDescent="0.4">
      <c r="O380" s="6"/>
    </row>
    <row r="381" spans="15:15" x14ac:dyDescent="0.4">
      <c r="O381" s="6"/>
    </row>
    <row r="382" spans="15:15" x14ac:dyDescent="0.4">
      <c r="O382" s="6"/>
    </row>
    <row r="383" spans="15:15" x14ac:dyDescent="0.4">
      <c r="O383" s="6"/>
    </row>
    <row r="384" spans="15:15" x14ac:dyDescent="0.4">
      <c r="O384" s="6"/>
    </row>
    <row r="385" spans="15:15" x14ac:dyDescent="0.4">
      <c r="O385" s="6"/>
    </row>
    <row r="386" spans="15:15" x14ac:dyDescent="0.4">
      <c r="O386" s="6"/>
    </row>
    <row r="387" spans="15:15" x14ac:dyDescent="0.4">
      <c r="O387" s="6"/>
    </row>
    <row r="388" spans="15:15" x14ac:dyDescent="0.4">
      <c r="O388" s="6"/>
    </row>
    <row r="389" spans="15:15" x14ac:dyDescent="0.4">
      <c r="O389" s="6"/>
    </row>
    <row r="390" spans="15:15" x14ac:dyDescent="0.4">
      <c r="O390" s="6"/>
    </row>
    <row r="391" spans="15:15" x14ac:dyDescent="0.4">
      <c r="O391" s="6"/>
    </row>
    <row r="392" spans="15:15" x14ac:dyDescent="0.4">
      <c r="O392" s="6"/>
    </row>
    <row r="393" spans="15:15" x14ac:dyDescent="0.4">
      <c r="O393" s="6"/>
    </row>
    <row r="394" spans="15:15" x14ac:dyDescent="0.4">
      <c r="O394" s="6"/>
    </row>
    <row r="395" spans="15:15" x14ac:dyDescent="0.4">
      <c r="O395" s="6"/>
    </row>
    <row r="396" spans="15:15" x14ac:dyDescent="0.4">
      <c r="O396" s="6"/>
    </row>
    <row r="397" spans="15:15" x14ac:dyDescent="0.4">
      <c r="O397" s="6"/>
    </row>
    <row r="398" spans="15:15" x14ac:dyDescent="0.4">
      <c r="O398" s="6"/>
    </row>
    <row r="399" spans="15:15" x14ac:dyDescent="0.4">
      <c r="O399" s="6"/>
    </row>
    <row r="400" spans="15:15" x14ac:dyDescent="0.4">
      <c r="O400" s="6"/>
    </row>
    <row r="401" spans="15:15" x14ac:dyDescent="0.4">
      <c r="O401" s="6"/>
    </row>
    <row r="402" spans="15:15" x14ac:dyDescent="0.4">
      <c r="O402" s="6"/>
    </row>
    <row r="403" spans="15:15" x14ac:dyDescent="0.4">
      <c r="O403" s="6"/>
    </row>
    <row r="404" spans="15:15" x14ac:dyDescent="0.4">
      <c r="O404" s="6"/>
    </row>
    <row r="405" spans="15:15" x14ac:dyDescent="0.4">
      <c r="O405" s="6"/>
    </row>
    <row r="406" spans="15:15" x14ac:dyDescent="0.4">
      <c r="O406" s="6"/>
    </row>
    <row r="407" spans="15:15" x14ac:dyDescent="0.4">
      <c r="O407" s="6"/>
    </row>
    <row r="408" spans="15:15" x14ac:dyDescent="0.4">
      <c r="O408" s="6"/>
    </row>
    <row r="409" spans="15:15" x14ac:dyDescent="0.4">
      <c r="O409" s="6"/>
    </row>
    <row r="410" spans="15:15" x14ac:dyDescent="0.4">
      <c r="O410" s="6"/>
    </row>
    <row r="411" spans="15:15" x14ac:dyDescent="0.4">
      <c r="O411" s="6"/>
    </row>
    <row r="412" spans="15:15" x14ac:dyDescent="0.4">
      <c r="O412" s="6"/>
    </row>
    <row r="413" spans="15:15" x14ac:dyDescent="0.4">
      <c r="O413" s="6"/>
    </row>
    <row r="414" spans="15:15" x14ac:dyDescent="0.4">
      <c r="O414" s="6"/>
    </row>
    <row r="415" spans="15:15" x14ac:dyDescent="0.4">
      <c r="O415" s="6"/>
    </row>
    <row r="416" spans="15:15" x14ac:dyDescent="0.4">
      <c r="O416" s="6"/>
    </row>
    <row r="417" spans="15:15" x14ac:dyDescent="0.4">
      <c r="O417" s="6"/>
    </row>
    <row r="418" spans="15:15" x14ac:dyDescent="0.4">
      <c r="O418" s="6"/>
    </row>
    <row r="419" spans="15:15" x14ac:dyDescent="0.4">
      <c r="O419" s="6"/>
    </row>
    <row r="420" spans="15:15" x14ac:dyDescent="0.4">
      <c r="O420" s="6"/>
    </row>
    <row r="421" spans="15:15" x14ac:dyDescent="0.4">
      <c r="O421" s="6"/>
    </row>
    <row r="422" spans="15:15" x14ac:dyDescent="0.4">
      <c r="O422" s="6"/>
    </row>
    <row r="423" spans="15:15" x14ac:dyDescent="0.4">
      <c r="O423" s="6"/>
    </row>
    <row r="424" spans="15:15" x14ac:dyDescent="0.4">
      <c r="O424" s="6"/>
    </row>
    <row r="425" spans="15:15" x14ac:dyDescent="0.4">
      <c r="O425" s="6"/>
    </row>
    <row r="426" spans="15:15" x14ac:dyDescent="0.4">
      <c r="O426" s="6"/>
    </row>
    <row r="427" spans="15:15" x14ac:dyDescent="0.4">
      <c r="O427" s="6"/>
    </row>
    <row r="428" spans="15:15" x14ac:dyDescent="0.4">
      <c r="O428" s="6"/>
    </row>
    <row r="429" spans="15:15" x14ac:dyDescent="0.4">
      <c r="O429" s="6"/>
    </row>
    <row r="430" spans="15:15" x14ac:dyDescent="0.4">
      <c r="O430" s="6"/>
    </row>
    <row r="431" spans="15:15" x14ac:dyDescent="0.4">
      <c r="O431" s="6"/>
    </row>
    <row r="432" spans="15:15" x14ac:dyDescent="0.4">
      <c r="O432" s="6"/>
    </row>
    <row r="433" spans="15:15" x14ac:dyDescent="0.4">
      <c r="O433" s="6"/>
    </row>
    <row r="434" spans="15:15" x14ac:dyDescent="0.4">
      <c r="O434" s="6"/>
    </row>
    <row r="435" spans="15:15" x14ac:dyDescent="0.4">
      <c r="O435" s="6"/>
    </row>
    <row r="436" spans="15:15" x14ac:dyDescent="0.4">
      <c r="O436" s="6"/>
    </row>
    <row r="437" spans="15:15" x14ac:dyDescent="0.4">
      <c r="O437" s="6"/>
    </row>
    <row r="438" spans="15:15" x14ac:dyDescent="0.4">
      <c r="O438" s="6"/>
    </row>
    <row r="439" spans="15:15" x14ac:dyDescent="0.4">
      <c r="O439" s="6"/>
    </row>
    <row r="440" spans="15:15" x14ac:dyDescent="0.4">
      <c r="O440" s="6"/>
    </row>
    <row r="441" spans="15:15" x14ac:dyDescent="0.4">
      <c r="O441" s="6"/>
    </row>
    <row r="442" spans="15:15" x14ac:dyDescent="0.4">
      <c r="O442" s="6"/>
    </row>
    <row r="443" spans="15:15" x14ac:dyDescent="0.4">
      <c r="O443" s="6"/>
    </row>
    <row r="444" spans="15:15" x14ac:dyDescent="0.4">
      <c r="O444" s="6"/>
    </row>
    <row r="445" spans="15:15" x14ac:dyDescent="0.4">
      <c r="O445" s="6"/>
    </row>
    <row r="446" spans="15:15" x14ac:dyDescent="0.4">
      <c r="O446" s="6"/>
    </row>
    <row r="447" spans="15:15" x14ac:dyDescent="0.4">
      <c r="O447" s="6"/>
    </row>
    <row r="448" spans="15:15" x14ac:dyDescent="0.4">
      <c r="O448" s="6"/>
    </row>
    <row r="449" spans="15:15" x14ac:dyDescent="0.4">
      <c r="O449" s="6"/>
    </row>
    <row r="450" spans="15:15" x14ac:dyDescent="0.4">
      <c r="O450" s="6"/>
    </row>
    <row r="451" spans="15:15" x14ac:dyDescent="0.4">
      <c r="O451" s="6"/>
    </row>
    <row r="452" spans="15:15" x14ac:dyDescent="0.4">
      <c r="O452" s="6"/>
    </row>
    <row r="453" spans="15:15" x14ac:dyDescent="0.4">
      <c r="O453" s="6"/>
    </row>
    <row r="454" spans="15:15" x14ac:dyDescent="0.4">
      <c r="O454" s="6"/>
    </row>
    <row r="455" spans="15:15" x14ac:dyDescent="0.4">
      <c r="O455" s="6"/>
    </row>
    <row r="456" spans="15:15" x14ac:dyDescent="0.4">
      <c r="O456" s="6"/>
    </row>
    <row r="457" spans="15:15" x14ac:dyDescent="0.4">
      <c r="O457" s="6"/>
    </row>
    <row r="458" spans="15:15" x14ac:dyDescent="0.4">
      <c r="O458" s="6"/>
    </row>
    <row r="459" spans="15:15" x14ac:dyDescent="0.4">
      <c r="O459" s="6"/>
    </row>
    <row r="460" spans="15:15" x14ac:dyDescent="0.4">
      <c r="O460" s="6"/>
    </row>
    <row r="461" spans="15:15" x14ac:dyDescent="0.4">
      <c r="O461" s="6"/>
    </row>
    <row r="462" spans="15:15" x14ac:dyDescent="0.4">
      <c r="O462" s="6"/>
    </row>
    <row r="463" spans="15:15" x14ac:dyDescent="0.4">
      <c r="O463" s="6"/>
    </row>
    <row r="464" spans="15:15" x14ac:dyDescent="0.4">
      <c r="O464" s="6"/>
    </row>
    <row r="465" spans="15:15" x14ac:dyDescent="0.4">
      <c r="O465" s="6"/>
    </row>
    <row r="466" spans="15:15" x14ac:dyDescent="0.4">
      <c r="O466" s="6"/>
    </row>
    <row r="467" spans="15:15" x14ac:dyDescent="0.4">
      <c r="O467" s="6"/>
    </row>
    <row r="468" spans="15:15" x14ac:dyDescent="0.4">
      <c r="O468" s="6"/>
    </row>
    <row r="469" spans="15:15" x14ac:dyDescent="0.4">
      <c r="O469" s="6"/>
    </row>
    <row r="470" spans="15:15" x14ac:dyDescent="0.4">
      <c r="O470" s="6"/>
    </row>
    <row r="471" spans="15:15" x14ac:dyDescent="0.4">
      <c r="O471" s="6"/>
    </row>
    <row r="472" spans="15:15" x14ac:dyDescent="0.4">
      <c r="O472" s="6"/>
    </row>
    <row r="473" spans="15:15" x14ac:dyDescent="0.4">
      <c r="O473" s="6"/>
    </row>
    <row r="474" spans="15:15" x14ac:dyDescent="0.4">
      <c r="O474" s="6"/>
    </row>
    <row r="475" spans="15:15" x14ac:dyDescent="0.4">
      <c r="O475" s="6"/>
    </row>
    <row r="476" spans="15:15" x14ac:dyDescent="0.4">
      <c r="O476" s="6"/>
    </row>
    <row r="477" spans="15:15" x14ac:dyDescent="0.4">
      <c r="O477" s="6"/>
    </row>
    <row r="478" spans="15:15" x14ac:dyDescent="0.4">
      <c r="O478" s="6"/>
    </row>
    <row r="479" spans="15:15" x14ac:dyDescent="0.4">
      <c r="O479" s="6"/>
    </row>
    <row r="480" spans="15:15" x14ac:dyDescent="0.4">
      <c r="O480" s="6"/>
    </row>
    <row r="481" spans="15:15" x14ac:dyDescent="0.4">
      <c r="O481" s="6"/>
    </row>
    <row r="482" spans="15:15" x14ac:dyDescent="0.4">
      <c r="O482" s="6"/>
    </row>
    <row r="483" spans="15:15" x14ac:dyDescent="0.4">
      <c r="O483" s="6"/>
    </row>
    <row r="484" spans="15:15" x14ac:dyDescent="0.4">
      <c r="O484" s="6"/>
    </row>
    <row r="485" spans="15:15" x14ac:dyDescent="0.4">
      <c r="O485" s="6"/>
    </row>
    <row r="486" spans="15:15" x14ac:dyDescent="0.4">
      <c r="O486" s="6"/>
    </row>
    <row r="487" spans="15:15" x14ac:dyDescent="0.4">
      <c r="O487" s="6"/>
    </row>
    <row r="488" spans="15:15" x14ac:dyDescent="0.4">
      <c r="O488" s="6"/>
    </row>
    <row r="489" spans="15:15" x14ac:dyDescent="0.4">
      <c r="O489" s="6"/>
    </row>
    <row r="490" spans="15:15" x14ac:dyDescent="0.4">
      <c r="O490" s="6"/>
    </row>
    <row r="491" spans="15:15" x14ac:dyDescent="0.4">
      <c r="O491" s="6"/>
    </row>
    <row r="492" spans="15:15" x14ac:dyDescent="0.4">
      <c r="O492" s="6"/>
    </row>
    <row r="493" spans="15:15" x14ac:dyDescent="0.4">
      <c r="O493" s="6"/>
    </row>
    <row r="494" spans="15:15" x14ac:dyDescent="0.4">
      <c r="O494" s="6"/>
    </row>
    <row r="495" spans="15:15" x14ac:dyDescent="0.4">
      <c r="O495" s="6"/>
    </row>
    <row r="496" spans="15:15" x14ac:dyDescent="0.4">
      <c r="O496" s="6"/>
    </row>
    <row r="497" spans="15:15" x14ac:dyDescent="0.4">
      <c r="O497" s="6"/>
    </row>
    <row r="498" spans="15:15" x14ac:dyDescent="0.4">
      <c r="O498" s="6"/>
    </row>
    <row r="499" spans="15:15" x14ac:dyDescent="0.4">
      <c r="O499" s="6"/>
    </row>
    <row r="500" spans="15:15" x14ac:dyDescent="0.4">
      <c r="O500" s="6"/>
    </row>
    <row r="501" spans="15:15" x14ac:dyDescent="0.4">
      <c r="O501" s="6"/>
    </row>
    <row r="502" spans="15:15" x14ac:dyDescent="0.4">
      <c r="O502" s="6"/>
    </row>
    <row r="503" spans="15:15" x14ac:dyDescent="0.4">
      <c r="O503" s="6"/>
    </row>
    <row r="504" spans="15:15" x14ac:dyDescent="0.4">
      <c r="O504" s="6"/>
    </row>
    <row r="505" spans="15:15" x14ac:dyDescent="0.4">
      <c r="O505" s="6"/>
    </row>
    <row r="506" spans="15:15" x14ac:dyDescent="0.4">
      <c r="O506" s="6"/>
    </row>
    <row r="507" spans="15:15" x14ac:dyDescent="0.4">
      <c r="O507" s="6"/>
    </row>
    <row r="508" spans="15:15" x14ac:dyDescent="0.4">
      <c r="O508" s="6"/>
    </row>
    <row r="509" spans="15:15" x14ac:dyDescent="0.4">
      <c r="O509" s="6"/>
    </row>
    <row r="510" spans="15:15" x14ac:dyDescent="0.4">
      <c r="O510" s="6"/>
    </row>
    <row r="511" spans="15:15" x14ac:dyDescent="0.4">
      <c r="O511" s="6"/>
    </row>
    <row r="512" spans="15:15" x14ac:dyDescent="0.4">
      <c r="O512" s="6"/>
    </row>
    <row r="513" spans="15:15" x14ac:dyDescent="0.4">
      <c r="O513" s="6"/>
    </row>
    <row r="514" spans="15:15" x14ac:dyDescent="0.4">
      <c r="O514" s="6"/>
    </row>
    <row r="515" spans="15:15" x14ac:dyDescent="0.4">
      <c r="O515" s="6"/>
    </row>
    <row r="516" spans="15:15" x14ac:dyDescent="0.4">
      <c r="O516" s="6"/>
    </row>
    <row r="517" spans="15:15" x14ac:dyDescent="0.4">
      <c r="O517" s="6"/>
    </row>
    <row r="518" spans="15:15" x14ac:dyDescent="0.4">
      <c r="O518" s="6"/>
    </row>
    <row r="519" spans="15:15" x14ac:dyDescent="0.4">
      <c r="O519" s="6"/>
    </row>
    <row r="520" spans="15:15" x14ac:dyDescent="0.4">
      <c r="O520" s="6"/>
    </row>
    <row r="521" spans="15:15" x14ac:dyDescent="0.4">
      <c r="O521" s="6"/>
    </row>
    <row r="522" spans="15:15" x14ac:dyDescent="0.4">
      <c r="O522" s="6"/>
    </row>
    <row r="523" spans="15:15" x14ac:dyDescent="0.4">
      <c r="O523" s="6"/>
    </row>
    <row r="524" spans="15:15" x14ac:dyDescent="0.4">
      <c r="O524" s="6"/>
    </row>
    <row r="525" spans="15:15" x14ac:dyDescent="0.4">
      <c r="O525" s="6"/>
    </row>
    <row r="526" spans="15:15" x14ac:dyDescent="0.4">
      <c r="O526" s="6"/>
    </row>
    <row r="527" spans="15:15" x14ac:dyDescent="0.4">
      <c r="O527" s="6"/>
    </row>
    <row r="528" spans="15:15" x14ac:dyDescent="0.4">
      <c r="O528" s="6"/>
    </row>
    <row r="529" spans="15:15" x14ac:dyDescent="0.4">
      <c r="O529" s="6"/>
    </row>
    <row r="530" spans="15:15" x14ac:dyDescent="0.4">
      <c r="O530" s="6"/>
    </row>
    <row r="531" spans="15:15" x14ac:dyDescent="0.4">
      <c r="O531" s="6"/>
    </row>
    <row r="532" spans="15:15" x14ac:dyDescent="0.4">
      <c r="O532" s="6"/>
    </row>
    <row r="533" spans="15:15" x14ac:dyDescent="0.4">
      <c r="O533" s="6"/>
    </row>
    <row r="534" spans="15:15" x14ac:dyDescent="0.4">
      <c r="O534" s="6"/>
    </row>
    <row r="535" spans="15:15" x14ac:dyDescent="0.4">
      <c r="O535" s="6"/>
    </row>
    <row r="536" spans="15:15" x14ac:dyDescent="0.4">
      <c r="O536" s="6"/>
    </row>
    <row r="537" spans="15:15" x14ac:dyDescent="0.4">
      <c r="O537" s="6"/>
    </row>
    <row r="538" spans="15:15" x14ac:dyDescent="0.4">
      <c r="O538" s="6"/>
    </row>
    <row r="539" spans="15:15" x14ac:dyDescent="0.4">
      <c r="O539" s="6"/>
    </row>
    <row r="540" spans="15:15" x14ac:dyDescent="0.4">
      <c r="O540" s="6"/>
    </row>
    <row r="541" spans="15:15" x14ac:dyDescent="0.4">
      <c r="O541" s="6"/>
    </row>
    <row r="542" spans="15:15" x14ac:dyDescent="0.4">
      <c r="O542" s="6"/>
    </row>
    <row r="543" spans="15:15" x14ac:dyDescent="0.4">
      <c r="O543" s="6"/>
    </row>
    <row r="544" spans="15:15" x14ac:dyDescent="0.4">
      <c r="O544" s="6"/>
    </row>
    <row r="545" spans="15:15" x14ac:dyDescent="0.4">
      <c r="O545" s="6"/>
    </row>
    <row r="546" spans="15:15" x14ac:dyDescent="0.4">
      <c r="O546" s="6"/>
    </row>
    <row r="547" spans="15:15" x14ac:dyDescent="0.4">
      <c r="O547" s="6"/>
    </row>
    <row r="548" spans="15:15" x14ac:dyDescent="0.4">
      <c r="O548" s="6"/>
    </row>
    <row r="549" spans="15:15" x14ac:dyDescent="0.4">
      <c r="O549" s="6"/>
    </row>
    <row r="550" spans="15:15" x14ac:dyDescent="0.4">
      <c r="O550" s="6"/>
    </row>
    <row r="551" spans="15:15" x14ac:dyDescent="0.4">
      <c r="O551" s="6"/>
    </row>
    <row r="552" spans="15:15" x14ac:dyDescent="0.4">
      <c r="O552" s="6"/>
    </row>
    <row r="553" spans="15:15" x14ac:dyDescent="0.4">
      <c r="O553" s="6"/>
    </row>
    <row r="554" spans="15:15" x14ac:dyDescent="0.4">
      <c r="O554" s="6"/>
    </row>
    <row r="555" spans="15:15" x14ac:dyDescent="0.4">
      <c r="O555" s="6"/>
    </row>
    <row r="556" spans="15:15" x14ac:dyDescent="0.4">
      <c r="O556" s="6"/>
    </row>
    <row r="557" spans="15:15" x14ac:dyDescent="0.4">
      <c r="O557" s="6"/>
    </row>
    <row r="558" spans="15:15" x14ac:dyDescent="0.4">
      <c r="O558" s="6"/>
    </row>
    <row r="559" spans="15:15" x14ac:dyDescent="0.4">
      <c r="O559" s="6"/>
    </row>
    <row r="560" spans="15:15" x14ac:dyDescent="0.4">
      <c r="O560" s="6"/>
    </row>
    <row r="561" spans="15:15" x14ac:dyDescent="0.4">
      <c r="O561" s="6"/>
    </row>
    <row r="562" spans="15:15" x14ac:dyDescent="0.4">
      <c r="O562" s="6"/>
    </row>
    <row r="563" spans="15:15" x14ac:dyDescent="0.4">
      <c r="O563" s="6"/>
    </row>
    <row r="564" spans="15:15" x14ac:dyDescent="0.4">
      <c r="O564" s="6"/>
    </row>
    <row r="565" spans="15:15" x14ac:dyDescent="0.4">
      <c r="O565" s="6"/>
    </row>
    <row r="566" spans="15:15" x14ac:dyDescent="0.4">
      <c r="O566" s="6"/>
    </row>
    <row r="567" spans="15:15" x14ac:dyDescent="0.4">
      <c r="O567" s="6"/>
    </row>
    <row r="568" spans="15:15" x14ac:dyDescent="0.4">
      <c r="O568" s="6"/>
    </row>
    <row r="569" spans="15:15" x14ac:dyDescent="0.4">
      <c r="O569" s="6"/>
    </row>
    <row r="570" spans="15:15" x14ac:dyDescent="0.4">
      <c r="O570" s="6"/>
    </row>
    <row r="571" spans="15:15" x14ac:dyDescent="0.4">
      <c r="O571" s="6"/>
    </row>
    <row r="572" spans="15:15" x14ac:dyDescent="0.4">
      <c r="O572" s="6"/>
    </row>
    <row r="573" spans="15:15" x14ac:dyDescent="0.4">
      <c r="O573" s="6"/>
    </row>
    <row r="574" spans="15:15" x14ac:dyDescent="0.4">
      <c r="O574" s="6"/>
    </row>
    <row r="575" spans="15:15" x14ac:dyDescent="0.4">
      <c r="O575" s="6"/>
    </row>
    <row r="576" spans="15:15" x14ac:dyDescent="0.4">
      <c r="O576" s="6"/>
    </row>
    <row r="577" spans="15:15" x14ac:dyDescent="0.4">
      <c r="O577" s="6"/>
    </row>
    <row r="578" spans="15:15" x14ac:dyDescent="0.4">
      <c r="O578" s="6"/>
    </row>
    <row r="579" spans="15:15" x14ac:dyDescent="0.4">
      <c r="O579" s="6"/>
    </row>
    <row r="580" spans="15:15" x14ac:dyDescent="0.4">
      <c r="O580" s="6"/>
    </row>
    <row r="581" spans="15:15" x14ac:dyDescent="0.4">
      <c r="O581" s="6"/>
    </row>
    <row r="582" spans="15:15" x14ac:dyDescent="0.4">
      <c r="O582" s="6"/>
    </row>
    <row r="583" spans="15:15" x14ac:dyDescent="0.4">
      <c r="O583" s="6"/>
    </row>
    <row r="584" spans="15:15" x14ac:dyDescent="0.4">
      <c r="O584" s="6"/>
    </row>
    <row r="585" spans="15:15" x14ac:dyDescent="0.4">
      <c r="O585" s="6"/>
    </row>
    <row r="586" spans="15:15" x14ac:dyDescent="0.4">
      <c r="O586" s="6"/>
    </row>
    <row r="587" spans="15:15" x14ac:dyDescent="0.4">
      <c r="O587" s="6"/>
    </row>
    <row r="588" spans="15:15" x14ac:dyDescent="0.4">
      <c r="O588" s="6"/>
    </row>
    <row r="589" spans="15:15" x14ac:dyDescent="0.4">
      <c r="O589" s="6"/>
    </row>
    <row r="590" spans="15:15" x14ac:dyDescent="0.4">
      <c r="O590" s="6"/>
    </row>
    <row r="591" spans="15:15" x14ac:dyDescent="0.4">
      <c r="O591" s="6"/>
    </row>
    <row r="592" spans="15:15" x14ac:dyDescent="0.4">
      <c r="O592" s="6"/>
    </row>
    <row r="593" spans="15:15" x14ac:dyDescent="0.4">
      <c r="O593" s="6"/>
    </row>
    <row r="594" spans="15:15" x14ac:dyDescent="0.4">
      <c r="O594" s="6"/>
    </row>
    <row r="595" spans="15:15" x14ac:dyDescent="0.4">
      <c r="O595" s="6"/>
    </row>
    <row r="596" spans="15:15" x14ac:dyDescent="0.4">
      <c r="O596" s="6"/>
    </row>
    <row r="597" spans="15:15" x14ac:dyDescent="0.4">
      <c r="O597" s="6"/>
    </row>
    <row r="598" spans="15:15" x14ac:dyDescent="0.4">
      <c r="O598" s="6"/>
    </row>
    <row r="599" spans="15:15" x14ac:dyDescent="0.4">
      <c r="O599" s="6"/>
    </row>
    <row r="600" spans="15:15" x14ac:dyDescent="0.4">
      <c r="O600" s="6"/>
    </row>
    <row r="601" spans="15:15" x14ac:dyDescent="0.4">
      <c r="O601" s="6"/>
    </row>
    <row r="602" spans="15:15" x14ac:dyDescent="0.4">
      <c r="O602" s="6"/>
    </row>
    <row r="603" spans="15:15" x14ac:dyDescent="0.4">
      <c r="O603" s="6"/>
    </row>
    <row r="604" spans="15:15" x14ac:dyDescent="0.4">
      <c r="O604" s="6"/>
    </row>
    <row r="605" spans="15:15" x14ac:dyDescent="0.4">
      <c r="O605" s="6"/>
    </row>
    <row r="606" spans="15:15" x14ac:dyDescent="0.4">
      <c r="O606" s="6"/>
    </row>
    <row r="607" spans="15:15" x14ac:dyDescent="0.4">
      <c r="O607" s="6"/>
    </row>
    <row r="608" spans="15:15" x14ac:dyDescent="0.4">
      <c r="O608" s="6"/>
    </row>
    <row r="609" spans="15:15" x14ac:dyDescent="0.4">
      <c r="O609" s="6"/>
    </row>
    <row r="610" spans="15:15" x14ac:dyDescent="0.4">
      <c r="O610" s="6"/>
    </row>
    <row r="611" spans="15:15" x14ac:dyDescent="0.4">
      <c r="O611" s="6"/>
    </row>
    <row r="612" spans="15:15" x14ac:dyDescent="0.4">
      <c r="O612" s="6"/>
    </row>
    <row r="613" spans="15:15" x14ac:dyDescent="0.4">
      <c r="O613" s="6"/>
    </row>
    <row r="614" spans="15:15" x14ac:dyDescent="0.4">
      <c r="O614" s="6"/>
    </row>
    <row r="615" spans="15:15" x14ac:dyDescent="0.4">
      <c r="O615" s="6"/>
    </row>
    <row r="616" spans="15:15" x14ac:dyDescent="0.4">
      <c r="O616" s="6"/>
    </row>
    <row r="617" spans="15:15" x14ac:dyDescent="0.4">
      <c r="O617" s="6"/>
    </row>
    <row r="618" spans="15:15" x14ac:dyDescent="0.4">
      <c r="O618" s="6"/>
    </row>
    <row r="619" spans="15:15" x14ac:dyDescent="0.4">
      <c r="O619" s="6"/>
    </row>
    <row r="620" spans="15:15" x14ac:dyDescent="0.4">
      <c r="O620" s="6"/>
    </row>
    <row r="621" spans="15:15" x14ac:dyDescent="0.4">
      <c r="O621" s="6"/>
    </row>
    <row r="622" spans="15:15" x14ac:dyDescent="0.4">
      <c r="O622" s="6"/>
    </row>
    <row r="623" spans="15:15" x14ac:dyDescent="0.4">
      <c r="O623" s="6"/>
    </row>
    <row r="624" spans="15:15" x14ac:dyDescent="0.4">
      <c r="O624" s="6"/>
    </row>
    <row r="625" spans="15:15" x14ac:dyDescent="0.4">
      <c r="O625" s="6"/>
    </row>
    <row r="626" spans="15:15" x14ac:dyDescent="0.4">
      <c r="O626" s="6"/>
    </row>
    <row r="627" spans="15:15" x14ac:dyDescent="0.4">
      <c r="O627" s="6"/>
    </row>
    <row r="628" spans="15:15" x14ac:dyDescent="0.4">
      <c r="O628" s="6"/>
    </row>
    <row r="629" spans="15:15" x14ac:dyDescent="0.4">
      <c r="O629" s="6"/>
    </row>
    <row r="630" spans="15:15" x14ac:dyDescent="0.4">
      <c r="O630" s="6"/>
    </row>
    <row r="631" spans="15:15" x14ac:dyDescent="0.4">
      <c r="O631" s="6"/>
    </row>
    <row r="632" spans="15:15" x14ac:dyDescent="0.4">
      <c r="O632" s="6"/>
    </row>
    <row r="633" spans="15:15" x14ac:dyDescent="0.4">
      <c r="O633" s="6"/>
    </row>
    <row r="634" spans="15:15" x14ac:dyDescent="0.4">
      <c r="O634" s="6"/>
    </row>
    <row r="635" spans="15:15" x14ac:dyDescent="0.4">
      <c r="O635" s="6"/>
    </row>
    <row r="636" spans="15:15" x14ac:dyDescent="0.4">
      <c r="O636" s="6"/>
    </row>
    <row r="637" spans="15:15" x14ac:dyDescent="0.4">
      <c r="O637" s="6"/>
    </row>
    <row r="638" spans="15:15" x14ac:dyDescent="0.4">
      <c r="O638" s="6"/>
    </row>
    <row r="639" spans="15:15" x14ac:dyDescent="0.4">
      <c r="O639" s="6"/>
    </row>
    <row r="640" spans="15:15" x14ac:dyDescent="0.4">
      <c r="O640" s="6"/>
    </row>
    <row r="641" spans="15:15" x14ac:dyDescent="0.4">
      <c r="O641" s="6"/>
    </row>
    <row r="642" spans="15:15" x14ac:dyDescent="0.4">
      <c r="O642" s="6"/>
    </row>
    <row r="643" spans="15:15" x14ac:dyDescent="0.4">
      <c r="O643" s="6"/>
    </row>
    <row r="644" spans="15:15" x14ac:dyDescent="0.4">
      <c r="O644" s="6"/>
    </row>
    <row r="645" spans="15:15" x14ac:dyDescent="0.4">
      <c r="O645" s="6"/>
    </row>
    <row r="646" spans="15:15" x14ac:dyDescent="0.4">
      <c r="O646" s="6"/>
    </row>
    <row r="647" spans="15:15" x14ac:dyDescent="0.4">
      <c r="O647" s="6"/>
    </row>
    <row r="648" spans="15:15" x14ac:dyDescent="0.4">
      <c r="O648" s="6"/>
    </row>
    <row r="649" spans="15:15" x14ac:dyDescent="0.4">
      <c r="O649" s="6"/>
    </row>
    <row r="650" spans="15:15" x14ac:dyDescent="0.4">
      <c r="O650" s="6"/>
    </row>
    <row r="651" spans="15:15" x14ac:dyDescent="0.4">
      <c r="O651" s="6"/>
    </row>
    <row r="652" spans="15:15" x14ac:dyDescent="0.4">
      <c r="O652" s="6"/>
    </row>
    <row r="653" spans="15:15" x14ac:dyDescent="0.4">
      <c r="O653" s="6"/>
    </row>
    <row r="654" spans="15:15" x14ac:dyDescent="0.4">
      <c r="O654" s="6"/>
    </row>
    <row r="655" spans="15:15" x14ac:dyDescent="0.4">
      <c r="O655" s="6"/>
    </row>
    <row r="656" spans="15:15" x14ac:dyDescent="0.4">
      <c r="O656" s="6"/>
    </row>
    <row r="657" spans="15:15" x14ac:dyDescent="0.4">
      <c r="O657" s="6"/>
    </row>
    <row r="658" spans="15:15" x14ac:dyDescent="0.4">
      <c r="O658" s="6"/>
    </row>
    <row r="659" spans="15:15" x14ac:dyDescent="0.4">
      <c r="O659" s="6"/>
    </row>
    <row r="660" spans="15:15" x14ac:dyDescent="0.4">
      <c r="O660" s="6"/>
    </row>
    <row r="661" spans="15:15" x14ac:dyDescent="0.4">
      <c r="O661" s="6"/>
    </row>
    <row r="662" spans="15:15" x14ac:dyDescent="0.4">
      <c r="O662" s="6"/>
    </row>
    <row r="663" spans="15:15" x14ac:dyDescent="0.4">
      <c r="O663" s="6"/>
    </row>
    <row r="664" spans="15:15" x14ac:dyDescent="0.4">
      <c r="O664" s="6"/>
    </row>
    <row r="665" spans="15:15" x14ac:dyDescent="0.4">
      <c r="O665" s="6"/>
    </row>
    <row r="666" spans="15:15" x14ac:dyDescent="0.4">
      <c r="O666" s="6"/>
    </row>
    <row r="667" spans="15:15" x14ac:dyDescent="0.4">
      <c r="O667" s="6"/>
    </row>
    <row r="668" spans="15:15" x14ac:dyDescent="0.4">
      <c r="O668" s="6"/>
    </row>
    <row r="669" spans="15:15" x14ac:dyDescent="0.4">
      <c r="O669" s="6"/>
    </row>
    <row r="670" spans="15:15" x14ac:dyDescent="0.4">
      <c r="O670" s="6"/>
    </row>
    <row r="671" spans="15:15" x14ac:dyDescent="0.4">
      <c r="O671" s="6"/>
    </row>
    <row r="672" spans="15:15" x14ac:dyDescent="0.4">
      <c r="O672" s="6"/>
    </row>
    <row r="673" spans="15:15" x14ac:dyDescent="0.4">
      <c r="O673" s="6"/>
    </row>
    <row r="674" spans="15:15" x14ac:dyDescent="0.4">
      <c r="O674" s="6"/>
    </row>
    <row r="675" spans="15:15" x14ac:dyDescent="0.4">
      <c r="O675" s="6"/>
    </row>
    <row r="676" spans="15:15" x14ac:dyDescent="0.4">
      <c r="O676" s="6"/>
    </row>
    <row r="677" spans="15:15" x14ac:dyDescent="0.4">
      <c r="O677" s="6"/>
    </row>
    <row r="678" spans="15:15" x14ac:dyDescent="0.4">
      <c r="O678" s="6"/>
    </row>
    <row r="679" spans="15:15" x14ac:dyDescent="0.4">
      <c r="O679" s="6"/>
    </row>
    <row r="680" spans="15:15" x14ac:dyDescent="0.4">
      <c r="O680" s="6"/>
    </row>
    <row r="681" spans="15:15" x14ac:dyDescent="0.4">
      <c r="O681" s="6"/>
    </row>
    <row r="682" spans="15:15" x14ac:dyDescent="0.4">
      <c r="O682" s="6"/>
    </row>
    <row r="683" spans="15:15" x14ac:dyDescent="0.4">
      <c r="O683" s="6"/>
    </row>
    <row r="684" spans="15:15" x14ac:dyDescent="0.4">
      <c r="O684" s="6"/>
    </row>
    <row r="685" spans="15:15" x14ac:dyDescent="0.4">
      <c r="O685" s="6"/>
    </row>
    <row r="686" spans="15:15" x14ac:dyDescent="0.4">
      <c r="O686" s="6"/>
    </row>
    <row r="687" spans="15:15" x14ac:dyDescent="0.4">
      <c r="O687" s="6"/>
    </row>
    <row r="688" spans="15:15" x14ac:dyDescent="0.4">
      <c r="O688" s="6"/>
    </row>
    <row r="689" spans="15:15" x14ac:dyDescent="0.4">
      <c r="O689" s="6"/>
    </row>
    <row r="690" spans="15:15" x14ac:dyDescent="0.4">
      <c r="O690" s="6"/>
    </row>
    <row r="691" spans="15:15" x14ac:dyDescent="0.4">
      <c r="O691" s="6"/>
    </row>
    <row r="692" spans="15:15" x14ac:dyDescent="0.4">
      <c r="O692" s="6"/>
    </row>
    <row r="693" spans="15:15" x14ac:dyDescent="0.4">
      <c r="O693" s="6"/>
    </row>
    <row r="694" spans="15:15" x14ac:dyDescent="0.4">
      <c r="O694" s="6"/>
    </row>
    <row r="695" spans="15:15" x14ac:dyDescent="0.4">
      <c r="O695" s="6"/>
    </row>
    <row r="696" spans="15:15" x14ac:dyDescent="0.4">
      <c r="O696" s="6"/>
    </row>
    <row r="697" spans="15:15" x14ac:dyDescent="0.4">
      <c r="O697" s="6"/>
    </row>
    <row r="698" spans="15:15" x14ac:dyDescent="0.4">
      <c r="O698" s="6"/>
    </row>
    <row r="699" spans="15:15" x14ac:dyDescent="0.4">
      <c r="O699" s="6"/>
    </row>
    <row r="700" spans="15:15" x14ac:dyDescent="0.4">
      <c r="O700" s="6"/>
    </row>
    <row r="701" spans="15:15" x14ac:dyDescent="0.4">
      <c r="O701" s="6"/>
    </row>
    <row r="702" spans="15:15" x14ac:dyDescent="0.4">
      <c r="O702" s="6"/>
    </row>
    <row r="703" spans="15:15" x14ac:dyDescent="0.4">
      <c r="O703" s="6"/>
    </row>
    <row r="704" spans="15:15" x14ac:dyDescent="0.4">
      <c r="O704" s="6"/>
    </row>
    <row r="705" spans="15:15" x14ac:dyDescent="0.4">
      <c r="O705" s="6"/>
    </row>
    <row r="706" spans="15:15" x14ac:dyDescent="0.4">
      <c r="O706" s="6"/>
    </row>
    <row r="707" spans="15:15" x14ac:dyDescent="0.4">
      <c r="O707" s="6"/>
    </row>
    <row r="708" spans="15:15" x14ac:dyDescent="0.4">
      <c r="O708" s="6"/>
    </row>
    <row r="709" spans="15:15" x14ac:dyDescent="0.4">
      <c r="O709" s="6"/>
    </row>
    <row r="710" spans="15:15" x14ac:dyDescent="0.4">
      <c r="O710" s="6"/>
    </row>
    <row r="711" spans="15:15" x14ac:dyDescent="0.4">
      <c r="O711" s="6"/>
    </row>
    <row r="712" spans="15:15" x14ac:dyDescent="0.4">
      <c r="O712" s="6"/>
    </row>
    <row r="713" spans="15:15" x14ac:dyDescent="0.4">
      <c r="O713" s="6"/>
    </row>
    <row r="714" spans="15:15" x14ac:dyDescent="0.4">
      <c r="O714" s="6"/>
    </row>
    <row r="715" spans="15:15" x14ac:dyDescent="0.4">
      <c r="O715" s="6"/>
    </row>
    <row r="716" spans="15:15" x14ac:dyDescent="0.4">
      <c r="O716" s="6"/>
    </row>
    <row r="717" spans="15:15" x14ac:dyDescent="0.4">
      <c r="O717" s="6"/>
    </row>
    <row r="718" spans="15:15" x14ac:dyDescent="0.4">
      <c r="O718" s="6"/>
    </row>
    <row r="719" spans="15:15" x14ac:dyDescent="0.4">
      <c r="O719" s="6"/>
    </row>
    <row r="720" spans="15:15" x14ac:dyDescent="0.4">
      <c r="O720" s="6"/>
    </row>
    <row r="721" spans="15:15" x14ac:dyDescent="0.4">
      <c r="O721" s="6"/>
    </row>
    <row r="722" spans="15:15" x14ac:dyDescent="0.4">
      <c r="O722" s="6"/>
    </row>
    <row r="723" spans="15:15" x14ac:dyDescent="0.4">
      <c r="O723" s="6"/>
    </row>
    <row r="724" spans="15:15" x14ac:dyDescent="0.4">
      <c r="O724" s="6"/>
    </row>
    <row r="725" spans="15:15" x14ac:dyDescent="0.4">
      <c r="O725" s="6"/>
    </row>
    <row r="726" spans="15:15" x14ac:dyDescent="0.4">
      <c r="O726" s="6"/>
    </row>
    <row r="727" spans="15:15" x14ac:dyDescent="0.4">
      <c r="O727" s="6"/>
    </row>
    <row r="728" spans="15:15" x14ac:dyDescent="0.4">
      <c r="O728" s="6"/>
    </row>
    <row r="729" spans="15:15" x14ac:dyDescent="0.4">
      <c r="O729" s="6"/>
    </row>
    <row r="730" spans="15:15" x14ac:dyDescent="0.4">
      <c r="O730" s="6"/>
    </row>
    <row r="731" spans="15:15" x14ac:dyDescent="0.4">
      <c r="O731" s="6"/>
    </row>
    <row r="732" spans="15:15" x14ac:dyDescent="0.4">
      <c r="O732" s="6"/>
    </row>
    <row r="733" spans="15:15" x14ac:dyDescent="0.4">
      <c r="O733" s="6"/>
    </row>
    <row r="734" spans="15:15" x14ac:dyDescent="0.4">
      <c r="O734" s="6"/>
    </row>
    <row r="735" spans="15:15" x14ac:dyDescent="0.4">
      <c r="O735" s="6"/>
    </row>
    <row r="736" spans="15:15" x14ac:dyDescent="0.4">
      <c r="O736" s="6"/>
    </row>
    <row r="737" spans="15:15" x14ac:dyDescent="0.4">
      <c r="O737" s="6"/>
    </row>
    <row r="738" spans="15:15" x14ac:dyDescent="0.4">
      <c r="O738" s="6"/>
    </row>
    <row r="739" spans="15:15" x14ac:dyDescent="0.4">
      <c r="O739" s="6"/>
    </row>
    <row r="740" spans="15:15" x14ac:dyDescent="0.4">
      <c r="O740" s="6"/>
    </row>
    <row r="741" spans="15:15" x14ac:dyDescent="0.4">
      <c r="O741" s="6"/>
    </row>
    <row r="742" spans="15:15" x14ac:dyDescent="0.4">
      <c r="O742" s="6"/>
    </row>
    <row r="743" spans="15:15" x14ac:dyDescent="0.4">
      <c r="O743" s="6"/>
    </row>
    <row r="744" spans="15:15" x14ac:dyDescent="0.4">
      <c r="O744" s="6"/>
    </row>
    <row r="745" spans="15:15" x14ac:dyDescent="0.4">
      <c r="O745" s="6"/>
    </row>
    <row r="746" spans="15:15" x14ac:dyDescent="0.4">
      <c r="O746" s="6"/>
    </row>
    <row r="747" spans="15:15" x14ac:dyDescent="0.4">
      <c r="O747" s="6"/>
    </row>
    <row r="748" spans="15:15" x14ac:dyDescent="0.4">
      <c r="O748" s="6"/>
    </row>
    <row r="749" spans="15:15" x14ac:dyDescent="0.4">
      <c r="O749" s="6"/>
    </row>
    <row r="750" spans="15:15" x14ac:dyDescent="0.4">
      <c r="O750" s="6"/>
    </row>
    <row r="751" spans="15:15" x14ac:dyDescent="0.4">
      <c r="O751" s="6"/>
    </row>
    <row r="752" spans="15:15" x14ac:dyDescent="0.4">
      <c r="O752" s="6"/>
    </row>
    <row r="753" spans="15:15" x14ac:dyDescent="0.4">
      <c r="O753" s="6"/>
    </row>
    <row r="754" spans="15:15" x14ac:dyDescent="0.4">
      <c r="O754" s="6"/>
    </row>
    <row r="755" spans="15:15" x14ac:dyDescent="0.4">
      <c r="O755" s="6"/>
    </row>
    <row r="756" spans="15:15" x14ac:dyDescent="0.4">
      <c r="O756" s="6"/>
    </row>
    <row r="757" spans="15:15" x14ac:dyDescent="0.4">
      <c r="O757" s="6"/>
    </row>
    <row r="758" spans="15:15" x14ac:dyDescent="0.4">
      <c r="O758" s="6"/>
    </row>
    <row r="759" spans="15:15" x14ac:dyDescent="0.4">
      <c r="O759" s="6"/>
    </row>
    <row r="760" spans="15:15" x14ac:dyDescent="0.4">
      <c r="O760" s="6"/>
    </row>
    <row r="761" spans="15:15" x14ac:dyDescent="0.4">
      <c r="O761" s="6"/>
    </row>
    <row r="762" spans="15:15" x14ac:dyDescent="0.4">
      <c r="O762" s="6"/>
    </row>
    <row r="763" spans="15:15" x14ac:dyDescent="0.4">
      <c r="O763" s="6"/>
    </row>
    <row r="764" spans="15:15" x14ac:dyDescent="0.4">
      <c r="O764" s="6"/>
    </row>
    <row r="765" spans="15:15" x14ac:dyDescent="0.4">
      <c r="O765" s="6"/>
    </row>
    <row r="766" spans="15:15" x14ac:dyDescent="0.4">
      <c r="O766" s="6"/>
    </row>
    <row r="767" spans="15:15" x14ac:dyDescent="0.4">
      <c r="O767" s="6"/>
    </row>
    <row r="768" spans="15:15" x14ac:dyDescent="0.4">
      <c r="O768" s="6"/>
    </row>
    <row r="769" spans="15:15" x14ac:dyDescent="0.4">
      <c r="O769" s="6"/>
    </row>
    <row r="770" spans="15:15" x14ac:dyDescent="0.4">
      <c r="O770" s="6"/>
    </row>
    <row r="771" spans="15:15" x14ac:dyDescent="0.4">
      <c r="O771" s="6"/>
    </row>
    <row r="772" spans="15:15" x14ac:dyDescent="0.4">
      <c r="O772" s="6"/>
    </row>
    <row r="773" spans="15:15" x14ac:dyDescent="0.4">
      <c r="O773" s="6"/>
    </row>
    <row r="774" spans="15:15" x14ac:dyDescent="0.4">
      <c r="O774" s="6"/>
    </row>
    <row r="775" spans="15:15" x14ac:dyDescent="0.4">
      <c r="O775" s="6"/>
    </row>
    <row r="776" spans="15:15" x14ac:dyDescent="0.4">
      <c r="O776" s="6"/>
    </row>
    <row r="777" spans="15:15" x14ac:dyDescent="0.4">
      <c r="O777" s="6"/>
    </row>
    <row r="778" spans="15:15" x14ac:dyDescent="0.4">
      <c r="O778" s="6"/>
    </row>
    <row r="779" spans="15:15" x14ac:dyDescent="0.4">
      <c r="O779" s="6"/>
    </row>
    <row r="780" spans="15:15" x14ac:dyDescent="0.4">
      <c r="O780" s="6"/>
    </row>
    <row r="781" spans="15:15" x14ac:dyDescent="0.4">
      <c r="O781" s="6"/>
    </row>
    <row r="782" spans="15:15" x14ac:dyDescent="0.4">
      <c r="O782" s="6"/>
    </row>
    <row r="783" spans="15:15" x14ac:dyDescent="0.4">
      <c r="O783" s="6"/>
    </row>
    <row r="784" spans="15:15" x14ac:dyDescent="0.4">
      <c r="O784" s="6"/>
    </row>
    <row r="785" spans="15:15" x14ac:dyDescent="0.4">
      <c r="O785" s="6"/>
    </row>
    <row r="786" spans="15:15" x14ac:dyDescent="0.4">
      <c r="O786" s="6"/>
    </row>
    <row r="787" spans="15:15" x14ac:dyDescent="0.4">
      <c r="O787" s="6"/>
    </row>
    <row r="788" spans="15:15" x14ac:dyDescent="0.4">
      <c r="O788" s="6"/>
    </row>
    <row r="789" spans="15:15" x14ac:dyDescent="0.4">
      <c r="O789" s="6"/>
    </row>
    <row r="790" spans="15:15" x14ac:dyDescent="0.4">
      <c r="O790" s="6"/>
    </row>
    <row r="791" spans="15:15" x14ac:dyDescent="0.4">
      <c r="O791" s="6"/>
    </row>
    <row r="792" spans="15:15" x14ac:dyDescent="0.4">
      <c r="O792" s="6"/>
    </row>
    <row r="793" spans="15:15" x14ac:dyDescent="0.4">
      <c r="O793" s="6"/>
    </row>
    <row r="794" spans="15:15" x14ac:dyDescent="0.4">
      <c r="O794" s="6"/>
    </row>
    <row r="795" spans="15:15" x14ac:dyDescent="0.4">
      <c r="O795" s="6"/>
    </row>
    <row r="796" spans="15:15" x14ac:dyDescent="0.4">
      <c r="O796" s="6"/>
    </row>
    <row r="797" spans="15:15" x14ac:dyDescent="0.4">
      <c r="O797" s="6"/>
    </row>
    <row r="798" spans="15:15" x14ac:dyDescent="0.4">
      <c r="O798" s="6"/>
    </row>
    <row r="799" spans="15:15" x14ac:dyDescent="0.4">
      <c r="O799" s="6"/>
    </row>
    <row r="800" spans="15:15" x14ac:dyDescent="0.4">
      <c r="O800" s="6"/>
    </row>
    <row r="801" spans="15:15" x14ac:dyDescent="0.4">
      <c r="O801" s="6"/>
    </row>
    <row r="802" spans="15:15" x14ac:dyDescent="0.4">
      <c r="O802" s="6"/>
    </row>
    <row r="803" spans="15:15" x14ac:dyDescent="0.4">
      <c r="O803" s="6"/>
    </row>
    <row r="804" spans="15:15" x14ac:dyDescent="0.4">
      <c r="O804" s="6"/>
    </row>
    <row r="805" spans="15:15" x14ac:dyDescent="0.4">
      <c r="O805" s="6"/>
    </row>
    <row r="806" spans="15:15" x14ac:dyDescent="0.4">
      <c r="O806" s="6"/>
    </row>
    <row r="807" spans="15:15" x14ac:dyDescent="0.4">
      <c r="O807" s="6"/>
    </row>
    <row r="808" spans="15:15" x14ac:dyDescent="0.4">
      <c r="O808" s="6"/>
    </row>
    <row r="809" spans="15:15" x14ac:dyDescent="0.4">
      <c r="O809" s="6"/>
    </row>
    <row r="810" spans="15:15" x14ac:dyDescent="0.4">
      <c r="O810" s="6"/>
    </row>
    <row r="811" spans="15:15" x14ac:dyDescent="0.4">
      <c r="O811" s="6"/>
    </row>
    <row r="812" spans="15:15" x14ac:dyDescent="0.4">
      <c r="O812" s="6"/>
    </row>
    <row r="813" spans="15:15" x14ac:dyDescent="0.4">
      <c r="O813" s="6"/>
    </row>
    <row r="814" spans="15:15" x14ac:dyDescent="0.4">
      <c r="O814" s="6"/>
    </row>
    <row r="815" spans="15:15" x14ac:dyDescent="0.4">
      <c r="O815" s="6"/>
    </row>
    <row r="816" spans="15:15" x14ac:dyDescent="0.4">
      <c r="O816" s="6"/>
    </row>
    <row r="817" spans="15:15" x14ac:dyDescent="0.4">
      <c r="O817" s="6"/>
    </row>
    <row r="818" spans="15:15" x14ac:dyDescent="0.4">
      <c r="O818" s="6"/>
    </row>
    <row r="819" spans="15:15" x14ac:dyDescent="0.4">
      <c r="O819" s="6"/>
    </row>
    <row r="820" spans="15:15" x14ac:dyDescent="0.4">
      <c r="O820" s="6"/>
    </row>
    <row r="821" spans="15:15" x14ac:dyDescent="0.4">
      <c r="O821" s="6"/>
    </row>
    <row r="822" spans="15:15" x14ac:dyDescent="0.4">
      <c r="O822" s="6"/>
    </row>
    <row r="823" spans="15:15" x14ac:dyDescent="0.4">
      <c r="O823" s="6"/>
    </row>
    <row r="824" spans="15:15" x14ac:dyDescent="0.4">
      <c r="O824" s="6"/>
    </row>
    <row r="825" spans="15:15" x14ac:dyDescent="0.4">
      <c r="O825" s="6"/>
    </row>
    <row r="826" spans="15:15" x14ac:dyDescent="0.4">
      <c r="O826" s="6"/>
    </row>
    <row r="827" spans="15:15" x14ac:dyDescent="0.4">
      <c r="O827" s="6"/>
    </row>
    <row r="828" spans="15:15" x14ac:dyDescent="0.4">
      <c r="O828" s="6"/>
    </row>
    <row r="829" spans="15:15" x14ac:dyDescent="0.4">
      <c r="O829" s="6"/>
    </row>
    <row r="830" spans="15:15" x14ac:dyDescent="0.4">
      <c r="O830" s="6"/>
    </row>
    <row r="831" spans="15:15" x14ac:dyDescent="0.4">
      <c r="O831" s="6"/>
    </row>
    <row r="832" spans="15:15" x14ac:dyDescent="0.4">
      <c r="O832" s="6"/>
    </row>
    <row r="833" spans="15:15" x14ac:dyDescent="0.4">
      <c r="O833" s="6"/>
    </row>
    <row r="834" spans="15:15" x14ac:dyDescent="0.4">
      <c r="O834" s="6"/>
    </row>
    <row r="835" spans="15:15" x14ac:dyDescent="0.4">
      <c r="O835" s="6"/>
    </row>
    <row r="836" spans="15:15" x14ac:dyDescent="0.4">
      <c r="O836" s="6"/>
    </row>
    <row r="837" spans="15:15" x14ac:dyDescent="0.4">
      <c r="O837" s="6"/>
    </row>
    <row r="838" spans="15:15" x14ac:dyDescent="0.4">
      <c r="O838" s="6"/>
    </row>
    <row r="839" spans="15:15" x14ac:dyDescent="0.4">
      <c r="O839" s="6"/>
    </row>
    <row r="840" spans="15:15" x14ac:dyDescent="0.4">
      <c r="O840" s="6"/>
    </row>
    <row r="841" spans="15:15" x14ac:dyDescent="0.4">
      <c r="O841" s="6"/>
    </row>
    <row r="842" spans="15:15" x14ac:dyDescent="0.4">
      <c r="O842" s="6"/>
    </row>
    <row r="843" spans="15:15" x14ac:dyDescent="0.4">
      <c r="O843" s="6"/>
    </row>
    <row r="844" spans="15:15" x14ac:dyDescent="0.4">
      <c r="O844" s="6"/>
    </row>
    <row r="845" spans="15:15" x14ac:dyDescent="0.4">
      <c r="O845" s="6"/>
    </row>
    <row r="846" spans="15:15" x14ac:dyDescent="0.4">
      <c r="O846" s="6"/>
    </row>
    <row r="847" spans="15:15" x14ac:dyDescent="0.4">
      <c r="O847" s="6"/>
    </row>
    <row r="848" spans="15:15" x14ac:dyDescent="0.4">
      <c r="O848" s="6"/>
    </row>
    <row r="849" spans="15:15" x14ac:dyDescent="0.4">
      <c r="O849" s="6"/>
    </row>
    <row r="850" spans="15:15" x14ac:dyDescent="0.4">
      <c r="O850" s="6"/>
    </row>
    <row r="851" spans="15:15" x14ac:dyDescent="0.4">
      <c r="O851" s="6"/>
    </row>
    <row r="852" spans="15:15" x14ac:dyDescent="0.4">
      <c r="O852" s="6"/>
    </row>
    <row r="853" spans="15:15" x14ac:dyDescent="0.4">
      <c r="O853" s="6"/>
    </row>
    <row r="854" spans="15:15" x14ac:dyDescent="0.4">
      <c r="O854" s="6"/>
    </row>
    <row r="855" spans="15:15" x14ac:dyDescent="0.4">
      <c r="O855" s="6"/>
    </row>
    <row r="856" spans="15:15" x14ac:dyDescent="0.4">
      <c r="O856" s="6"/>
    </row>
    <row r="857" spans="15:15" x14ac:dyDescent="0.4">
      <c r="O857" s="6"/>
    </row>
    <row r="858" spans="15:15" x14ac:dyDescent="0.4">
      <c r="O858" s="6"/>
    </row>
    <row r="859" spans="15:15" x14ac:dyDescent="0.4">
      <c r="O859" s="6"/>
    </row>
    <row r="860" spans="15:15" x14ac:dyDescent="0.4">
      <c r="O860" s="6"/>
    </row>
    <row r="861" spans="15:15" x14ac:dyDescent="0.4">
      <c r="O861" s="6"/>
    </row>
    <row r="862" spans="15:15" x14ac:dyDescent="0.4">
      <c r="O862" s="6"/>
    </row>
    <row r="863" spans="15:15" x14ac:dyDescent="0.4">
      <c r="O863" s="6"/>
    </row>
    <row r="864" spans="15:15" x14ac:dyDescent="0.4">
      <c r="O864" s="6"/>
    </row>
    <row r="865" spans="15:15" x14ac:dyDescent="0.4">
      <c r="O865" s="6"/>
    </row>
    <row r="866" spans="15:15" x14ac:dyDescent="0.4">
      <c r="O866" s="6"/>
    </row>
    <row r="867" spans="15:15" x14ac:dyDescent="0.4">
      <c r="O867" s="6"/>
    </row>
    <row r="868" spans="15:15" x14ac:dyDescent="0.4">
      <c r="O868" s="6"/>
    </row>
    <row r="869" spans="15:15" x14ac:dyDescent="0.4">
      <c r="O869" s="6"/>
    </row>
    <row r="870" spans="15:15" x14ac:dyDescent="0.4">
      <c r="O870" s="6"/>
    </row>
    <row r="871" spans="15:15" x14ac:dyDescent="0.4">
      <c r="O871" s="6"/>
    </row>
    <row r="872" spans="15:15" x14ac:dyDescent="0.4">
      <c r="O872" s="6"/>
    </row>
    <row r="873" spans="15:15" x14ac:dyDescent="0.4">
      <c r="O873" s="6"/>
    </row>
    <row r="874" spans="15:15" x14ac:dyDescent="0.4">
      <c r="O874" s="6"/>
    </row>
    <row r="875" spans="15:15" x14ac:dyDescent="0.4">
      <c r="O875" s="6"/>
    </row>
    <row r="876" spans="15:15" x14ac:dyDescent="0.4">
      <c r="O876" s="6"/>
    </row>
    <row r="877" spans="15:15" x14ac:dyDescent="0.4">
      <c r="O877" s="6"/>
    </row>
    <row r="878" spans="15:15" x14ac:dyDescent="0.4">
      <c r="O878" s="6"/>
    </row>
    <row r="879" spans="15:15" x14ac:dyDescent="0.4">
      <c r="O879" s="6"/>
    </row>
    <row r="880" spans="15:15" x14ac:dyDescent="0.4">
      <c r="O880" s="6"/>
    </row>
    <row r="881" spans="15:15" x14ac:dyDescent="0.4">
      <c r="O881" s="6"/>
    </row>
    <row r="882" spans="15:15" x14ac:dyDescent="0.4">
      <c r="O882" s="6"/>
    </row>
    <row r="883" spans="15:15" x14ac:dyDescent="0.4">
      <c r="O883" s="6"/>
    </row>
    <row r="884" spans="15:15" x14ac:dyDescent="0.4">
      <c r="O884" s="6"/>
    </row>
    <row r="885" spans="15:15" x14ac:dyDescent="0.4">
      <c r="O885" s="6"/>
    </row>
    <row r="886" spans="15:15" x14ac:dyDescent="0.4">
      <c r="O886" s="6"/>
    </row>
    <row r="887" spans="15:15" x14ac:dyDescent="0.4">
      <c r="O887" s="6"/>
    </row>
    <row r="888" spans="15:15" x14ac:dyDescent="0.4">
      <c r="O888" s="6"/>
    </row>
    <row r="889" spans="15:15" x14ac:dyDescent="0.4">
      <c r="O889" s="6"/>
    </row>
    <row r="890" spans="15:15" x14ac:dyDescent="0.4">
      <c r="O890" s="6"/>
    </row>
    <row r="891" spans="15:15" x14ac:dyDescent="0.4">
      <c r="O891" s="6"/>
    </row>
    <row r="892" spans="15:15" x14ac:dyDescent="0.4">
      <c r="O892" s="6"/>
    </row>
    <row r="893" spans="15:15" x14ac:dyDescent="0.4">
      <c r="O893" s="6"/>
    </row>
    <row r="894" spans="15:15" x14ac:dyDescent="0.4">
      <c r="O894" s="6"/>
    </row>
    <row r="895" spans="15:15" x14ac:dyDescent="0.4">
      <c r="O895" s="6"/>
    </row>
    <row r="896" spans="15:15" x14ac:dyDescent="0.4">
      <c r="O896" s="6"/>
    </row>
    <row r="897" spans="15:15" x14ac:dyDescent="0.4">
      <c r="O897" s="6"/>
    </row>
    <row r="898" spans="15:15" x14ac:dyDescent="0.4">
      <c r="O898" s="6"/>
    </row>
    <row r="899" spans="15:15" x14ac:dyDescent="0.4">
      <c r="O899" s="6"/>
    </row>
    <row r="900" spans="15:15" x14ac:dyDescent="0.4">
      <c r="O900" s="6"/>
    </row>
    <row r="901" spans="15:15" x14ac:dyDescent="0.4">
      <c r="O901" s="6"/>
    </row>
    <row r="902" spans="15:15" x14ac:dyDescent="0.4">
      <c r="O902" s="6"/>
    </row>
    <row r="903" spans="15:15" x14ac:dyDescent="0.4">
      <c r="O903" s="6"/>
    </row>
    <row r="904" spans="15:15" x14ac:dyDescent="0.4">
      <c r="O904" s="6"/>
    </row>
    <row r="905" spans="15:15" x14ac:dyDescent="0.4">
      <c r="O905" s="6"/>
    </row>
    <row r="906" spans="15:15" x14ac:dyDescent="0.4">
      <c r="O906" s="6"/>
    </row>
    <row r="907" spans="15:15" x14ac:dyDescent="0.4">
      <c r="O907" s="6"/>
    </row>
    <row r="908" spans="15:15" x14ac:dyDescent="0.4">
      <c r="O908" s="6"/>
    </row>
    <row r="909" spans="15:15" x14ac:dyDescent="0.4">
      <c r="O909" s="6"/>
    </row>
    <row r="910" spans="15:15" x14ac:dyDescent="0.4">
      <c r="O910" s="6"/>
    </row>
    <row r="911" spans="15:15" x14ac:dyDescent="0.4">
      <c r="O911" s="6"/>
    </row>
    <row r="912" spans="15:15" x14ac:dyDescent="0.4">
      <c r="O912" s="6"/>
    </row>
    <row r="913" spans="15:15" x14ac:dyDescent="0.4">
      <c r="O913" s="6"/>
    </row>
    <row r="914" spans="15:15" x14ac:dyDescent="0.4">
      <c r="O914" s="6"/>
    </row>
    <row r="915" spans="15:15" x14ac:dyDescent="0.4">
      <c r="O915" s="6"/>
    </row>
    <row r="916" spans="15:15" x14ac:dyDescent="0.4">
      <c r="O916" s="6"/>
    </row>
    <row r="917" spans="15:15" x14ac:dyDescent="0.4">
      <c r="O917" s="6"/>
    </row>
    <row r="918" spans="15:15" x14ac:dyDescent="0.4">
      <c r="O918" s="6"/>
    </row>
    <row r="919" spans="15:15" x14ac:dyDescent="0.4">
      <c r="O919" s="6"/>
    </row>
    <row r="920" spans="15:15" x14ac:dyDescent="0.4">
      <c r="O920" s="6"/>
    </row>
    <row r="921" spans="15:15" x14ac:dyDescent="0.4">
      <c r="O921" s="6"/>
    </row>
    <row r="922" spans="15:15" x14ac:dyDescent="0.4">
      <c r="O922" s="6"/>
    </row>
    <row r="923" spans="15:15" x14ac:dyDescent="0.4">
      <c r="O923" s="6"/>
    </row>
    <row r="924" spans="15:15" x14ac:dyDescent="0.4">
      <c r="O924" s="6"/>
    </row>
    <row r="925" spans="15:15" x14ac:dyDescent="0.4">
      <c r="O925" s="6"/>
    </row>
    <row r="926" spans="15:15" x14ac:dyDescent="0.4">
      <c r="O926" s="6"/>
    </row>
    <row r="927" spans="15:15" x14ac:dyDescent="0.4">
      <c r="O927" s="6"/>
    </row>
    <row r="928" spans="15:15" x14ac:dyDescent="0.4">
      <c r="O928" s="6"/>
    </row>
    <row r="929" spans="15:15" x14ac:dyDescent="0.4">
      <c r="O929" s="6"/>
    </row>
    <row r="930" spans="15:15" x14ac:dyDescent="0.4">
      <c r="O930" s="6"/>
    </row>
    <row r="931" spans="15:15" x14ac:dyDescent="0.4">
      <c r="O931" s="6"/>
    </row>
    <row r="932" spans="15:15" x14ac:dyDescent="0.4">
      <c r="O932" s="6"/>
    </row>
    <row r="933" spans="15:15" x14ac:dyDescent="0.4">
      <c r="O933" s="6"/>
    </row>
    <row r="934" spans="15:15" x14ac:dyDescent="0.4">
      <c r="O934" s="6"/>
    </row>
    <row r="935" spans="15:15" x14ac:dyDescent="0.4">
      <c r="O935" s="6"/>
    </row>
    <row r="936" spans="15:15" x14ac:dyDescent="0.4">
      <c r="O936" s="6"/>
    </row>
    <row r="937" spans="15:15" x14ac:dyDescent="0.4">
      <c r="O937" s="6"/>
    </row>
    <row r="938" spans="15:15" x14ac:dyDescent="0.4">
      <c r="O938" s="6"/>
    </row>
    <row r="939" spans="15:15" x14ac:dyDescent="0.4">
      <c r="O939" s="6"/>
    </row>
    <row r="940" spans="15:15" x14ac:dyDescent="0.4">
      <c r="O940" s="6"/>
    </row>
    <row r="941" spans="15:15" x14ac:dyDescent="0.4">
      <c r="O941" s="6"/>
    </row>
    <row r="942" spans="15:15" x14ac:dyDescent="0.4">
      <c r="O942" s="6"/>
    </row>
    <row r="943" spans="15:15" x14ac:dyDescent="0.4">
      <c r="O943" s="6"/>
    </row>
    <row r="944" spans="15:15" x14ac:dyDescent="0.4">
      <c r="O944" s="6"/>
    </row>
    <row r="945" spans="15:15" x14ac:dyDescent="0.4">
      <c r="O945" s="6"/>
    </row>
    <row r="946" spans="15:15" x14ac:dyDescent="0.4">
      <c r="O946" s="6"/>
    </row>
    <row r="947" spans="15:15" x14ac:dyDescent="0.4">
      <c r="O947" s="6"/>
    </row>
    <row r="948" spans="15:15" x14ac:dyDescent="0.4">
      <c r="O948" s="6"/>
    </row>
    <row r="949" spans="15:15" x14ac:dyDescent="0.4">
      <c r="O949" s="6"/>
    </row>
    <row r="950" spans="15:15" x14ac:dyDescent="0.4">
      <c r="O950" s="6"/>
    </row>
    <row r="951" spans="15:15" x14ac:dyDescent="0.4">
      <c r="O951" s="6"/>
    </row>
    <row r="952" spans="15:15" x14ac:dyDescent="0.4">
      <c r="O952" s="6"/>
    </row>
    <row r="953" spans="15:15" x14ac:dyDescent="0.4">
      <c r="O953" s="6"/>
    </row>
    <row r="954" spans="15:15" x14ac:dyDescent="0.4">
      <c r="O954" s="6"/>
    </row>
    <row r="955" spans="15:15" x14ac:dyDescent="0.4">
      <c r="O955" s="6"/>
    </row>
    <row r="956" spans="15:15" x14ac:dyDescent="0.4">
      <c r="O956" s="6"/>
    </row>
    <row r="957" spans="15:15" x14ac:dyDescent="0.4">
      <c r="O957" s="6"/>
    </row>
    <row r="958" spans="15:15" x14ac:dyDescent="0.4">
      <c r="O958" s="6"/>
    </row>
    <row r="959" spans="15:15" x14ac:dyDescent="0.4">
      <c r="O959" s="6"/>
    </row>
    <row r="960" spans="15:15" x14ac:dyDescent="0.4">
      <c r="O960" s="6"/>
    </row>
    <row r="961" spans="15:15" x14ac:dyDescent="0.4">
      <c r="O961" s="6"/>
    </row>
    <row r="962" spans="15:15" x14ac:dyDescent="0.4">
      <c r="O962" s="6"/>
    </row>
    <row r="963" spans="15:15" x14ac:dyDescent="0.4">
      <c r="O963" s="6"/>
    </row>
    <row r="964" spans="15:15" x14ac:dyDescent="0.4">
      <c r="O964" s="6"/>
    </row>
    <row r="965" spans="15:15" x14ac:dyDescent="0.4">
      <c r="O965" s="6"/>
    </row>
    <row r="966" spans="15:15" x14ac:dyDescent="0.4">
      <c r="O966" s="6"/>
    </row>
    <row r="967" spans="15:15" x14ac:dyDescent="0.4">
      <c r="O967" s="6"/>
    </row>
    <row r="968" spans="15:15" x14ac:dyDescent="0.4">
      <c r="O968" s="6"/>
    </row>
    <row r="969" spans="15:15" x14ac:dyDescent="0.4">
      <c r="O969" s="6"/>
    </row>
    <row r="970" spans="15:15" x14ac:dyDescent="0.4">
      <c r="O970" s="6"/>
    </row>
    <row r="971" spans="15:15" x14ac:dyDescent="0.4">
      <c r="O971" s="6"/>
    </row>
    <row r="972" spans="15:15" x14ac:dyDescent="0.4">
      <c r="O972" s="6"/>
    </row>
    <row r="973" spans="15:15" x14ac:dyDescent="0.4">
      <c r="O973" s="6"/>
    </row>
    <row r="974" spans="15:15" x14ac:dyDescent="0.4">
      <c r="O974" s="6"/>
    </row>
    <row r="975" spans="15:15" x14ac:dyDescent="0.4">
      <c r="O975" s="6"/>
    </row>
    <row r="976" spans="15:15" x14ac:dyDescent="0.4">
      <c r="O976" s="6"/>
    </row>
    <row r="977" spans="15:15" x14ac:dyDescent="0.4">
      <c r="O977" s="6"/>
    </row>
    <row r="978" spans="15:15" x14ac:dyDescent="0.4">
      <c r="O978" s="6"/>
    </row>
    <row r="979" spans="15:15" x14ac:dyDescent="0.4">
      <c r="O979" s="6"/>
    </row>
    <row r="980" spans="15:15" x14ac:dyDescent="0.4">
      <c r="O980" s="6"/>
    </row>
    <row r="981" spans="15:15" x14ac:dyDescent="0.4">
      <c r="O981" s="6"/>
    </row>
    <row r="982" spans="15:15" x14ac:dyDescent="0.4">
      <c r="O982" s="6"/>
    </row>
    <row r="983" spans="15:15" x14ac:dyDescent="0.4">
      <c r="O983" s="6"/>
    </row>
    <row r="984" spans="15:15" x14ac:dyDescent="0.4">
      <c r="O984" s="6"/>
    </row>
    <row r="985" spans="15:15" x14ac:dyDescent="0.4">
      <c r="O985" s="6"/>
    </row>
    <row r="986" spans="15:15" x14ac:dyDescent="0.4">
      <c r="O986" s="6"/>
    </row>
    <row r="987" spans="15:15" x14ac:dyDescent="0.4">
      <c r="O987" s="6"/>
    </row>
    <row r="988" spans="15:15" x14ac:dyDescent="0.4">
      <c r="O988" s="6"/>
    </row>
    <row r="989" spans="15:15" x14ac:dyDescent="0.4">
      <c r="O989" s="6"/>
    </row>
    <row r="990" spans="15:15" x14ac:dyDescent="0.4">
      <c r="O990" s="6"/>
    </row>
    <row r="991" spans="15:15" x14ac:dyDescent="0.4">
      <c r="O991" s="6"/>
    </row>
    <row r="992" spans="15:15" x14ac:dyDescent="0.4">
      <c r="O992" s="6"/>
    </row>
    <row r="993" spans="15:15" x14ac:dyDescent="0.4">
      <c r="O993" s="6"/>
    </row>
    <row r="994" spans="15:15" x14ac:dyDescent="0.4">
      <c r="O994" s="6"/>
    </row>
    <row r="995" spans="15:15" x14ac:dyDescent="0.4">
      <c r="O995" s="6"/>
    </row>
    <row r="996" spans="15:15" x14ac:dyDescent="0.4">
      <c r="O996" s="6"/>
    </row>
    <row r="997" spans="15:15" x14ac:dyDescent="0.4">
      <c r="O997" s="6"/>
    </row>
    <row r="998" spans="15:15" x14ac:dyDescent="0.4">
      <c r="O998" s="6"/>
    </row>
    <row r="999" spans="15:15" x14ac:dyDescent="0.4">
      <c r="O999" s="6"/>
    </row>
    <row r="1000" spans="15:15" x14ac:dyDescent="0.4">
      <c r="O1000" s="6"/>
    </row>
    <row r="1001" spans="15:15" x14ac:dyDescent="0.4">
      <c r="O1001" s="6"/>
    </row>
    <row r="1002" spans="15:15" x14ac:dyDescent="0.4">
      <c r="O1002" s="6"/>
    </row>
    <row r="1003" spans="15:15" x14ac:dyDescent="0.4">
      <c r="O1003" s="6"/>
    </row>
    <row r="1004" spans="15:15" x14ac:dyDescent="0.4">
      <c r="O1004" s="6"/>
    </row>
    <row r="1005" spans="15:15" x14ac:dyDescent="0.4">
      <c r="O1005" s="6"/>
    </row>
    <row r="1006" spans="15:15" x14ac:dyDescent="0.4">
      <c r="O1006" s="6"/>
    </row>
    <row r="1007" spans="15:15" x14ac:dyDescent="0.4">
      <c r="O1007" s="6"/>
    </row>
    <row r="1008" spans="15:15" x14ac:dyDescent="0.4">
      <c r="O1008" s="6"/>
    </row>
    <row r="1009" spans="15:15" x14ac:dyDescent="0.4">
      <c r="O1009" s="6"/>
    </row>
    <row r="1010" spans="15:15" x14ac:dyDescent="0.4">
      <c r="O1010" s="6"/>
    </row>
    <row r="1011" spans="15:15" x14ac:dyDescent="0.4">
      <c r="O1011" s="6"/>
    </row>
    <row r="1012" spans="15:15" x14ac:dyDescent="0.4">
      <c r="O1012" s="6"/>
    </row>
    <row r="1013" spans="15:15" x14ac:dyDescent="0.4">
      <c r="O1013" s="6"/>
    </row>
    <row r="1014" spans="15:15" x14ac:dyDescent="0.4">
      <c r="O1014" s="6"/>
    </row>
    <row r="1015" spans="15:15" x14ac:dyDescent="0.4">
      <c r="O1015" s="6"/>
    </row>
    <row r="1016" spans="15:15" x14ac:dyDescent="0.4">
      <c r="O1016" s="6"/>
    </row>
    <row r="1017" spans="15:15" x14ac:dyDescent="0.4">
      <c r="O1017" s="6"/>
    </row>
    <row r="1018" spans="15:15" x14ac:dyDescent="0.4">
      <c r="O1018" s="6"/>
    </row>
    <row r="1019" spans="15:15" x14ac:dyDescent="0.4">
      <c r="O1019" s="6"/>
    </row>
    <row r="1020" spans="15:15" x14ac:dyDescent="0.4">
      <c r="O1020" s="6"/>
    </row>
    <row r="1021" spans="15:15" x14ac:dyDescent="0.4">
      <c r="O1021" s="6"/>
    </row>
    <row r="1022" spans="15:15" x14ac:dyDescent="0.4">
      <c r="O1022" s="6"/>
    </row>
    <row r="1023" spans="15:15" x14ac:dyDescent="0.4">
      <c r="O1023" s="6"/>
    </row>
    <row r="1024" spans="15:15" x14ac:dyDescent="0.4">
      <c r="O1024" s="6"/>
    </row>
    <row r="1025" spans="15:15" x14ac:dyDescent="0.4">
      <c r="O1025" s="6"/>
    </row>
    <row r="1026" spans="15:15" x14ac:dyDescent="0.4">
      <c r="O1026" s="6"/>
    </row>
    <row r="1027" spans="15:15" x14ac:dyDescent="0.4">
      <c r="O1027" s="6"/>
    </row>
    <row r="1028" spans="15:15" x14ac:dyDescent="0.4">
      <c r="O1028" s="6"/>
    </row>
    <row r="1029" spans="15:15" x14ac:dyDescent="0.4">
      <c r="O1029" s="6"/>
    </row>
    <row r="1030" spans="15:15" x14ac:dyDescent="0.4">
      <c r="O1030" s="6"/>
    </row>
    <row r="1031" spans="15:15" x14ac:dyDescent="0.4">
      <c r="O1031" s="6"/>
    </row>
    <row r="1032" spans="15:15" x14ac:dyDescent="0.4">
      <c r="O1032" s="6"/>
    </row>
    <row r="1033" spans="15:15" x14ac:dyDescent="0.4">
      <c r="O1033" s="6"/>
    </row>
    <row r="1034" spans="15:15" x14ac:dyDescent="0.4">
      <c r="O1034" s="6"/>
    </row>
    <row r="1035" spans="15:15" x14ac:dyDescent="0.4">
      <c r="O1035" s="6"/>
    </row>
    <row r="1036" spans="15:15" x14ac:dyDescent="0.4">
      <c r="O1036" s="6"/>
    </row>
    <row r="1037" spans="15:15" x14ac:dyDescent="0.4">
      <c r="O1037" s="6"/>
    </row>
    <row r="1038" spans="15:15" x14ac:dyDescent="0.4">
      <c r="O1038" s="6"/>
    </row>
    <row r="1039" spans="15:15" x14ac:dyDescent="0.4">
      <c r="O1039" s="6"/>
    </row>
    <row r="1040" spans="15:15" x14ac:dyDescent="0.4">
      <c r="O1040" s="6"/>
    </row>
    <row r="1041" spans="15:15" x14ac:dyDescent="0.4">
      <c r="O1041" s="6"/>
    </row>
    <row r="1042" spans="15:15" x14ac:dyDescent="0.4">
      <c r="O1042" s="6"/>
    </row>
    <row r="1043" spans="15:15" x14ac:dyDescent="0.4">
      <c r="O1043" s="6"/>
    </row>
    <row r="1044" spans="15:15" x14ac:dyDescent="0.4">
      <c r="O1044" s="6"/>
    </row>
  </sheetData>
  <phoneticPr fontId="1" type="noConversion"/>
  <conditionalFormatting sqref="A255:P1045 A5:M254 O5:P254">
    <cfRule type="expression" dxfId="51" priority="10">
      <formula>MOD(ROW(),2)=1</formula>
    </cfRule>
    <cfRule type="expression" dxfId="50" priority="11">
      <formula>MOD(ROW(),2)=0</formula>
    </cfRule>
  </conditionalFormatting>
  <conditionalFormatting sqref="E5:F5 E7:F104">
    <cfRule type="notContainsBlanks" dxfId="49" priority="9">
      <formula>LEN(TRIM(E5))&gt;0</formula>
    </cfRule>
  </conditionalFormatting>
  <conditionalFormatting sqref="O5:O10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V1044">
    <cfRule type="expression" dxfId="48" priority="3">
      <formula>MOD(ROW(),2)=1</formula>
    </cfRule>
  </conditionalFormatting>
  <conditionalFormatting sqref="I5:K104 I105:J127">
    <cfRule type="notContainsBlanks" dxfId="47" priority="4">
      <formula>LEN(TRIM(I5))&gt;0</formula>
    </cfRule>
  </conditionalFormatting>
  <conditionalFormatting sqref="B5:B1045">
    <cfRule type="containsText" dxfId="46" priority="2" operator="containsText" text="sit">
      <formula>NOT(ISERROR(SEARCH("sit",B5)))</formula>
    </cfRule>
    <cfRule type="containsText" dxfId="45" priority="5" operator="containsText" text="pat">
      <formula>NOT(ISERROR(SEARCH("pat",B5)))</formula>
    </cfRule>
    <cfRule type="containsText" dxfId="44" priority="6" operator="containsText" text="extra">
      <formula>NOT(ISERROR(SEARCH("extra",B5)))</formula>
    </cfRule>
    <cfRule type="containsText" dxfId="43" priority="7" operator="containsText" text="jmc">
      <formula>NOT(ISERROR(SEARCH("jmc",B5)))</formula>
    </cfRule>
  </conditionalFormatting>
  <conditionalFormatting sqref="N5:N254">
    <cfRule type="expression" dxfId="42" priority="1">
      <formula>MOD(ROW(),2)=1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5" name="Button 5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6" name="Button 6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7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8" name="Button 8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9" name="Button 9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7620</xdr:rowOff>
                  </from>
                  <to>
                    <xdr:col>3</xdr:col>
                    <xdr:colOff>2316480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0" name="Button 10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7620</xdr:rowOff>
                  </from>
                  <to>
                    <xdr:col>4</xdr:col>
                    <xdr:colOff>259080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1" name="Button 11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7620</xdr:rowOff>
                  </from>
                  <to>
                    <xdr:col>3</xdr:col>
                    <xdr:colOff>1417320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 tint="-0.499984740745262"/>
  </sheetPr>
  <dimension ref="A1:V1044"/>
  <sheetViews>
    <sheetView showGridLines="0" zoomScale="85" zoomScaleNormal="85" workbookViewId="0">
      <pane ySplit="4" topLeftCell="A5" activePane="bottomLeft" state="frozen"/>
      <selection pane="bottomLeft" activeCell="A5" sqref="A5"/>
    </sheetView>
  </sheetViews>
  <sheetFormatPr defaultRowHeight="17.399999999999999" x14ac:dyDescent="0.4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24" customFormat="1" x14ac:dyDescent="0.4">
      <c r="A1" s="23" t="s">
        <v>241</v>
      </c>
      <c r="B1" s="24" t="s">
        <v>141</v>
      </c>
      <c r="C1" s="24" t="s">
        <v>142</v>
      </c>
      <c r="F1" s="25"/>
      <c r="G1" s="26"/>
      <c r="L1" s="1" t="s">
        <v>234</v>
      </c>
      <c r="M1" s="1"/>
      <c r="N1" s="1"/>
      <c r="O1" s="27">
        <f>IFERROR(SUM(L:L)/SUM(N:N),"")</f>
        <v>0.92307692307692313</v>
      </c>
      <c r="S1" s="29" t="s">
        <v>240</v>
      </c>
    </row>
    <row r="2" spans="1:22" s="24" customFormat="1" x14ac:dyDescent="0.4">
      <c r="B2" s="24" t="s">
        <v>143</v>
      </c>
      <c r="C2" s="24" t="s">
        <v>144</v>
      </c>
      <c r="L2" s="1" t="s">
        <v>235</v>
      </c>
      <c r="M2" s="1"/>
      <c r="N2" s="1"/>
      <c r="O2" s="28"/>
      <c r="S2" s="1" t="s">
        <v>242</v>
      </c>
      <c r="T2" s="30">
        <v>42502</v>
      </c>
    </row>
    <row r="3" spans="1:22" s="24" customFormat="1" x14ac:dyDescent="0.4">
      <c r="B3" s="25"/>
      <c r="C3" s="25"/>
      <c r="S3" s="1" t="s">
        <v>239</v>
      </c>
      <c r="T3" s="30">
        <f ca="1">TODAY()</f>
        <v>42704</v>
      </c>
      <c r="U3" s="31" t="str">
        <f ca="1">NETWORKDAYS(T2,T3)&amp;"일째"</f>
        <v>145일째</v>
      </c>
      <c r="V3" s="32" t="str">
        <f ca="1">ROUNDUP(SUM(U5:U249)/NETWORKDAYS(T2,T3),0)&amp;"개/1일"</f>
        <v>1개/1일</v>
      </c>
    </row>
    <row r="4" spans="1:22" x14ac:dyDescent="0.4">
      <c r="A4" s="3" t="s">
        <v>1</v>
      </c>
      <c r="B4" s="4" t="s">
        <v>2</v>
      </c>
      <c r="C4" s="4" t="s">
        <v>130</v>
      </c>
      <c r="D4" s="4" t="s">
        <v>132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 x14ac:dyDescent="0.4">
      <c r="A5">
        <v>1</v>
      </c>
      <c r="B5" s="20" t="s">
        <v>520</v>
      </c>
      <c r="C5" s="22" t="s">
        <v>514</v>
      </c>
      <c r="D5" s="21" t="s">
        <v>515</v>
      </c>
      <c r="E5" s="5"/>
      <c r="I5">
        <v>12</v>
      </c>
      <c r="J5" t="s">
        <v>513</v>
      </c>
      <c r="L5">
        <v>3</v>
      </c>
      <c r="N5">
        <f>IFERROR(IF(L5+M5=0,"",L5+M5),"")</f>
        <v>3</v>
      </c>
      <c r="O5" s="6">
        <f t="shared" ref="O5:O36" si="0">IFERROR(L5/(M5+L5),"")</f>
        <v>1</v>
      </c>
      <c r="P5">
        <v>101.95538330078125</v>
      </c>
      <c r="S5">
        <v>1</v>
      </c>
      <c r="T5" s="13">
        <v>42503</v>
      </c>
      <c r="U5">
        <v>16</v>
      </c>
      <c r="V5">
        <f>IF(U5&gt;0,SUM($U$5:U5),"")</f>
        <v>16</v>
      </c>
    </row>
    <row r="6" spans="1:22" x14ac:dyDescent="0.4">
      <c r="A6">
        <v>2</v>
      </c>
      <c r="B6" s="20" t="s">
        <v>520</v>
      </c>
      <c r="C6" s="9" t="s">
        <v>517</v>
      </c>
      <c r="D6" t="s">
        <v>516</v>
      </c>
      <c r="I6">
        <v>12</v>
      </c>
      <c r="J6" t="s">
        <v>513</v>
      </c>
      <c r="L6">
        <v>1</v>
      </c>
      <c r="N6">
        <f t="shared" ref="N6:N69" si="1">IFERROR(IF(L6+M6=0,"",L6+M6),"")</f>
        <v>1</v>
      </c>
      <c r="O6" s="6">
        <f t="shared" si="0"/>
        <v>1</v>
      </c>
      <c r="P6">
        <v>134.46536254882812</v>
      </c>
      <c r="S6">
        <v>2</v>
      </c>
      <c r="T6" s="13"/>
      <c r="V6" t="str">
        <f>IF(U6&gt;0,SUM($U$5:U6),"")</f>
        <v/>
      </c>
    </row>
    <row r="7" spans="1:22" x14ac:dyDescent="0.4">
      <c r="A7">
        <v>3</v>
      </c>
      <c r="B7" s="20" t="s">
        <v>520</v>
      </c>
      <c r="C7" s="9" t="s">
        <v>518</v>
      </c>
      <c r="D7" t="s">
        <v>519</v>
      </c>
      <c r="E7" s="5"/>
      <c r="F7" s="5"/>
      <c r="I7">
        <v>12</v>
      </c>
      <c r="J7" t="s">
        <v>513</v>
      </c>
      <c r="L7">
        <v>1</v>
      </c>
      <c r="N7">
        <f t="shared" si="1"/>
        <v>1</v>
      </c>
      <c r="O7" s="6">
        <f t="shared" si="0"/>
        <v>1</v>
      </c>
      <c r="P7">
        <v>88.003082275390625</v>
      </c>
      <c r="S7">
        <v>3</v>
      </c>
      <c r="T7" s="13"/>
      <c r="V7" t="str">
        <f>IF(U7&gt;0,SUM($U$5:U7),"")</f>
        <v/>
      </c>
    </row>
    <row r="8" spans="1:22" x14ac:dyDescent="0.4">
      <c r="A8">
        <v>4</v>
      </c>
      <c r="B8" s="20" t="s">
        <v>520</v>
      </c>
      <c r="C8" s="9" t="s">
        <v>532</v>
      </c>
      <c r="D8" t="s">
        <v>521</v>
      </c>
      <c r="E8" s="5"/>
      <c r="I8">
        <v>12</v>
      </c>
      <c r="J8" t="s">
        <v>513</v>
      </c>
      <c r="L8">
        <v>1</v>
      </c>
      <c r="N8">
        <f t="shared" si="1"/>
        <v>1</v>
      </c>
      <c r="O8" s="6">
        <f t="shared" si="0"/>
        <v>1</v>
      </c>
      <c r="P8">
        <v>100.43838500976562</v>
      </c>
      <c r="S8">
        <v>4</v>
      </c>
      <c r="T8" s="13"/>
      <c r="V8" t="str">
        <f>IF(U8&gt;0,SUM($U$5:U8),"")</f>
        <v/>
      </c>
    </row>
    <row r="9" spans="1:22" x14ac:dyDescent="0.4">
      <c r="A9">
        <v>5</v>
      </c>
      <c r="B9" s="20" t="s">
        <v>520</v>
      </c>
      <c r="C9" s="9" t="s">
        <v>522</v>
      </c>
      <c r="D9" t="s">
        <v>523</v>
      </c>
      <c r="E9" s="5"/>
      <c r="I9">
        <v>12</v>
      </c>
      <c r="J9" t="s">
        <v>513</v>
      </c>
      <c r="L9">
        <v>1</v>
      </c>
      <c r="N9">
        <f t="shared" si="1"/>
        <v>1</v>
      </c>
      <c r="O9" s="6">
        <f t="shared" si="0"/>
        <v>1</v>
      </c>
      <c r="P9">
        <v>118.78005981445312</v>
      </c>
      <c r="S9">
        <v>5</v>
      </c>
      <c r="T9" s="13"/>
      <c r="V9" t="str">
        <f>IF(U9&gt;0,SUM($U$5:U9),"")</f>
        <v/>
      </c>
    </row>
    <row r="10" spans="1:22" x14ac:dyDescent="0.4">
      <c r="A10">
        <v>6</v>
      </c>
      <c r="B10" s="20" t="s">
        <v>520</v>
      </c>
      <c r="C10" s="9" t="s">
        <v>524</v>
      </c>
      <c r="D10" t="s">
        <v>525</v>
      </c>
      <c r="E10" s="5"/>
      <c r="I10">
        <v>12</v>
      </c>
      <c r="J10" t="s">
        <v>513</v>
      </c>
      <c r="L10">
        <v>1</v>
      </c>
      <c r="N10">
        <f t="shared" si="1"/>
        <v>1</v>
      </c>
      <c r="O10" s="6">
        <f t="shared" si="0"/>
        <v>1</v>
      </c>
      <c r="P10">
        <v>114.738037109375</v>
      </c>
      <c r="S10">
        <v>6</v>
      </c>
      <c r="T10" s="13"/>
      <c r="V10" t="str">
        <f>IF(U10&gt;0,SUM($U$5:U10),"")</f>
        <v/>
      </c>
    </row>
    <row r="11" spans="1:22" x14ac:dyDescent="0.4">
      <c r="A11">
        <v>7</v>
      </c>
      <c r="B11" s="20" t="s">
        <v>520</v>
      </c>
      <c r="C11" s="9" t="s">
        <v>526</v>
      </c>
      <c r="D11" t="s">
        <v>533</v>
      </c>
      <c r="E11" s="5"/>
      <c r="I11">
        <v>12</v>
      </c>
      <c r="J11" t="s">
        <v>513</v>
      </c>
      <c r="L11">
        <v>1</v>
      </c>
      <c r="N11">
        <f t="shared" si="1"/>
        <v>1</v>
      </c>
      <c r="O11" s="6">
        <f t="shared" si="0"/>
        <v>1</v>
      </c>
      <c r="P11">
        <v>125.891845703125</v>
      </c>
      <c r="S11">
        <v>7</v>
      </c>
      <c r="T11" s="13"/>
      <c r="V11" t="str">
        <f>IF(U11&gt;0,SUM($U$5:U11),"")</f>
        <v/>
      </c>
    </row>
    <row r="12" spans="1:22" x14ac:dyDescent="0.4">
      <c r="A12">
        <v>8</v>
      </c>
      <c r="B12" s="20" t="s">
        <v>520</v>
      </c>
      <c r="C12" s="9" t="s">
        <v>527</v>
      </c>
      <c r="D12" t="s">
        <v>528</v>
      </c>
      <c r="E12" s="5"/>
      <c r="I12">
        <v>12</v>
      </c>
      <c r="J12" t="s">
        <v>513</v>
      </c>
      <c r="L12">
        <v>1</v>
      </c>
      <c r="N12">
        <f t="shared" si="1"/>
        <v>1</v>
      </c>
      <c r="O12" s="6">
        <f t="shared" si="0"/>
        <v>1</v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 x14ac:dyDescent="0.4">
      <c r="A13">
        <v>9</v>
      </c>
      <c r="B13" s="20" t="s">
        <v>520</v>
      </c>
      <c r="C13" s="9" t="s">
        <v>529</v>
      </c>
      <c r="D13" t="s">
        <v>534</v>
      </c>
      <c r="E13" s="5"/>
      <c r="I13">
        <v>12</v>
      </c>
      <c r="J13" t="s">
        <v>513</v>
      </c>
      <c r="L13">
        <v>1</v>
      </c>
      <c r="M13">
        <v>1</v>
      </c>
      <c r="N13">
        <f t="shared" si="1"/>
        <v>2</v>
      </c>
      <c r="O13" s="6">
        <f t="shared" si="0"/>
        <v>0.5</v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 x14ac:dyDescent="0.4">
      <c r="A14">
        <v>10</v>
      </c>
      <c r="B14" s="20" t="s">
        <v>520</v>
      </c>
      <c r="C14" s="9" t="s">
        <v>530</v>
      </c>
      <c r="D14" t="s">
        <v>531</v>
      </c>
      <c r="E14" s="5"/>
      <c r="I14">
        <v>12</v>
      </c>
      <c r="J14" t="s">
        <v>513</v>
      </c>
      <c r="L14">
        <v>1</v>
      </c>
      <c r="N14">
        <f t="shared" si="1"/>
        <v>1</v>
      </c>
      <c r="O14" s="6">
        <f t="shared" si="0"/>
        <v>1</v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 ht="16.5" x14ac:dyDescent="0.3">
      <c r="A15">
        <v>11</v>
      </c>
      <c r="E15" s="5"/>
      <c r="N15" t="str">
        <f t="shared" si="1"/>
        <v/>
      </c>
      <c r="O15" s="6" t="str">
        <f t="shared" si="0"/>
        <v/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 ht="16.5" x14ac:dyDescent="0.3">
      <c r="A16">
        <v>12</v>
      </c>
      <c r="E16" s="5"/>
      <c r="N16" t="str">
        <f t="shared" si="1"/>
        <v/>
      </c>
      <c r="O16" s="6" t="str">
        <f t="shared" si="0"/>
        <v/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 ht="16.5" x14ac:dyDescent="0.3">
      <c r="A17">
        <v>13</v>
      </c>
      <c r="E17" s="5"/>
      <c r="N17" t="str">
        <f t="shared" si="1"/>
        <v/>
      </c>
      <c r="O17" s="6" t="str">
        <f t="shared" si="0"/>
        <v/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 ht="16.5" x14ac:dyDescent="0.3">
      <c r="A18">
        <v>14</v>
      </c>
      <c r="E18" s="5"/>
      <c r="N18" t="str">
        <f t="shared" si="1"/>
        <v/>
      </c>
      <c r="O18" s="6" t="str">
        <f t="shared" si="0"/>
        <v/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 ht="16.5" x14ac:dyDescent="0.3">
      <c r="A19">
        <v>15</v>
      </c>
      <c r="E19" s="5"/>
      <c r="N19" t="str">
        <f t="shared" si="1"/>
        <v/>
      </c>
      <c r="O19" s="6" t="str">
        <f t="shared" si="0"/>
        <v/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 ht="16.5" x14ac:dyDescent="0.3">
      <c r="A20">
        <v>16</v>
      </c>
      <c r="E20" s="5"/>
      <c r="N20" t="str">
        <f t="shared" si="1"/>
        <v/>
      </c>
      <c r="O20" s="6" t="str">
        <f t="shared" si="0"/>
        <v/>
      </c>
      <c r="P20">
        <v>84.76708984375</v>
      </c>
      <c r="S20">
        <v>16</v>
      </c>
      <c r="T20" s="13"/>
      <c r="V20" t="str">
        <f>IF(U20&gt;0,SUM($U$5:U20),"")</f>
        <v/>
      </c>
    </row>
    <row r="21" spans="1:22" ht="16.5" x14ac:dyDescent="0.3">
      <c r="A21">
        <v>17</v>
      </c>
      <c r="E21" s="5"/>
      <c r="N21" t="str">
        <f t="shared" si="1"/>
        <v/>
      </c>
      <c r="O21" s="6" t="str">
        <f t="shared" si="0"/>
        <v/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 ht="16.5" x14ac:dyDescent="0.3">
      <c r="A22">
        <v>18</v>
      </c>
      <c r="C22" s="10"/>
      <c r="E22" s="5"/>
      <c r="N22" t="str">
        <f t="shared" si="1"/>
        <v/>
      </c>
      <c r="O22" s="6" t="str">
        <f t="shared" si="0"/>
        <v/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 ht="16.5" x14ac:dyDescent="0.3">
      <c r="A23">
        <v>19</v>
      </c>
      <c r="E23" s="5"/>
      <c r="N23" t="str">
        <f t="shared" si="1"/>
        <v/>
      </c>
      <c r="O23" s="6" t="str">
        <f t="shared" si="0"/>
        <v/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 ht="16.5" x14ac:dyDescent="0.3">
      <c r="A24">
        <v>20</v>
      </c>
      <c r="E24" s="5"/>
      <c r="N24" t="str">
        <f t="shared" si="1"/>
        <v/>
      </c>
      <c r="O24" s="6" t="str">
        <f t="shared" si="0"/>
        <v/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 ht="16.5" x14ac:dyDescent="0.3">
      <c r="A25">
        <v>21</v>
      </c>
      <c r="E25" s="5"/>
      <c r="N25" t="str">
        <f t="shared" si="1"/>
        <v/>
      </c>
      <c r="O25" s="6" t="str">
        <f t="shared" si="0"/>
        <v/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 ht="16.5" x14ac:dyDescent="0.3">
      <c r="A26">
        <v>22</v>
      </c>
      <c r="E26" s="5"/>
      <c r="N26" t="str">
        <f t="shared" si="1"/>
        <v/>
      </c>
      <c r="O26" s="6" t="str">
        <f t="shared" si="0"/>
        <v/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 ht="16.5" x14ac:dyDescent="0.3">
      <c r="A27">
        <v>23</v>
      </c>
      <c r="E27" s="5"/>
      <c r="N27" t="str">
        <f t="shared" si="1"/>
        <v/>
      </c>
      <c r="O27" s="6" t="str">
        <f t="shared" si="0"/>
        <v/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 ht="16.5" x14ac:dyDescent="0.3">
      <c r="A28">
        <v>24</v>
      </c>
      <c r="E28" s="5"/>
      <c r="N28" t="str">
        <f t="shared" si="1"/>
        <v/>
      </c>
      <c r="O28" s="6" t="str">
        <f t="shared" si="0"/>
        <v/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 ht="16.5" x14ac:dyDescent="0.3">
      <c r="A29">
        <v>25</v>
      </c>
      <c r="C29" s="10"/>
      <c r="E29" s="5"/>
      <c r="N29" t="str">
        <f t="shared" si="1"/>
        <v/>
      </c>
      <c r="O29" s="6" t="str">
        <f t="shared" si="0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 ht="16.5" x14ac:dyDescent="0.3">
      <c r="A30">
        <v>26</v>
      </c>
      <c r="E30" s="5"/>
      <c r="N30" t="str">
        <f t="shared" si="1"/>
        <v/>
      </c>
      <c r="O30" s="6" t="str">
        <f t="shared" si="0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 ht="16.5" x14ac:dyDescent="0.3">
      <c r="A31">
        <v>27</v>
      </c>
      <c r="E31" s="5"/>
      <c r="N31" t="str">
        <f t="shared" si="1"/>
        <v/>
      </c>
      <c r="O31" s="6" t="str">
        <f t="shared" si="0"/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 ht="16.5" x14ac:dyDescent="0.3">
      <c r="A32">
        <v>28</v>
      </c>
      <c r="E32" s="5"/>
      <c r="N32" t="str">
        <f t="shared" si="1"/>
        <v/>
      </c>
      <c r="O32" s="6" t="str">
        <f t="shared" si="0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 ht="16.5" x14ac:dyDescent="0.3">
      <c r="A33">
        <v>29</v>
      </c>
      <c r="E33" s="5"/>
      <c r="N33" t="str">
        <f t="shared" si="1"/>
        <v/>
      </c>
      <c r="O33" s="6" t="str">
        <f t="shared" si="0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 ht="16.5" x14ac:dyDescent="0.3">
      <c r="A34">
        <v>30</v>
      </c>
      <c r="E34" s="5"/>
      <c r="N34" t="str">
        <f t="shared" si="1"/>
        <v/>
      </c>
      <c r="O34" s="6" t="str">
        <f t="shared" si="0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 ht="16.5" x14ac:dyDescent="0.3">
      <c r="A35">
        <v>31</v>
      </c>
      <c r="E35" s="5"/>
      <c r="N35" t="str">
        <f t="shared" si="1"/>
        <v/>
      </c>
      <c r="O35" s="6" t="str">
        <f t="shared" si="0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 ht="16.5" x14ac:dyDescent="0.3">
      <c r="A36">
        <v>32</v>
      </c>
      <c r="E36" s="5"/>
      <c r="N36" t="str">
        <f t="shared" si="1"/>
        <v/>
      </c>
      <c r="O36" s="6" t="str">
        <f t="shared" si="0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 ht="16.5" x14ac:dyDescent="0.3">
      <c r="A37">
        <v>33</v>
      </c>
      <c r="E37" s="5"/>
      <c r="N37" t="str">
        <f t="shared" si="1"/>
        <v/>
      </c>
      <c r="O37" s="6" t="str">
        <f t="shared" ref="O37:O68" si="2">IFERROR(L37/(M37+L37),"")</f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 ht="16.5" x14ac:dyDescent="0.3">
      <c r="A38">
        <v>34</v>
      </c>
      <c r="E38" s="5"/>
      <c r="N38" t="str">
        <f t="shared" si="1"/>
        <v/>
      </c>
      <c r="O38" s="6" t="str">
        <f t="shared" si="2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 ht="16.5" x14ac:dyDescent="0.3">
      <c r="A39">
        <v>35</v>
      </c>
      <c r="E39" s="5"/>
      <c r="N39" t="str">
        <f t="shared" si="1"/>
        <v/>
      </c>
      <c r="O39" s="6" t="str">
        <f t="shared" si="2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 ht="16.5" x14ac:dyDescent="0.3">
      <c r="A40">
        <v>36</v>
      </c>
      <c r="E40" s="5"/>
      <c r="N40" t="str">
        <f t="shared" si="1"/>
        <v/>
      </c>
      <c r="O40" s="6" t="str">
        <f t="shared" si="2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 x14ac:dyDescent="0.4">
      <c r="A41">
        <v>37</v>
      </c>
      <c r="E41" s="5"/>
      <c r="N41" t="str">
        <f t="shared" si="1"/>
        <v/>
      </c>
      <c r="O41" s="6" t="str">
        <f t="shared" si="2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 x14ac:dyDescent="0.4">
      <c r="A42">
        <v>38</v>
      </c>
      <c r="E42" s="5"/>
      <c r="N42" t="str">
        <f t="shared" si="1"/>
        <v/>
      </c>
      <c r="O42" s="6" t="str">
        <f t="shared" si="2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 x14ac:dyDescent="0.4">
      <c r="A43">
        <v>39</v>
      </c>
      <c r="E43" s="5"/>
      <c r="N43" t="str">
        <f t="shared" si="1"/>
        <v/>
      </c>
      <c r="O43" s="6" t="str">
        <f t="shared" si="2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 x14ac:dyDescent="0.4">
      <c r="A44">
        <v>40</v>
      </c>
      <c r="E44" s="5"/>
      <c r="N44" t="str">
        <f t="shared" si="1"/>
        <v/>
      </c>
      <c r="O44" s="6" t="str">
        <f t="shared" si="2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 x14ac:dyDescent="0.4">
      <c r="A45">
        <v>41</v>
      </c>
      <c r="E45" s="5"/>
      <c r="N45" t="str">
        <f t="shared" si="1"/>
        <v/>
      </c>
      <c r="O45" s="6" t="str">
        <f t="shared" si="2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 x14ac:dyDescent="0.4">
      <c r="A46">
        <v>42</v>
      </c>
      <c r="E46" s="5"/>
      <c r="N46" t="str">
        <f t="shared" si="1"/>
        <v/>
      </c>
      <c r="O46" s="6" t="str">
        <f t="shared" si="2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 x14ac:dyDescent="0.4">
      <c r="A47">
        <v>43</v>
      </c>
      <c r="E47" s="5"/>
      <c r="N47" t="str">
        <f t="shared" si="1"/>
        <v/>
      </c>
      <c r="O47" s="6" t="str">
        <f t="shared" si="2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 x14ac:dyDescent="0.4">
      <c r="A48">
        <v>44</v>
      </c>
      <c r="E48" s="5"/>
      <c r="N48" t="str">
        <f t="shared" si="1"/>
        <v/>
      </c>
      <c r="O48" s="6" t="str">
        <f t="shared" si="2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 x14ac:dyDescent="0.4">
      <c r="A49">
        <v>45</v>
      </c>
      <c r="E49" s="5"/>
      <c r="N49" t="str">
        <f t="shared" si="1"/>
        <v/>
      </c>
      <c r="O49" s="6" t="str">
        <f t="shared" si="2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 x14ac:dyDescent="0.4">
      <c r="A50">
        <v>46</v>
      </c>
      <c r="E50" s="5"/>
      <c r="N50" t="str">
        <f t="shared" si="1"/>
        <v/>
      </c>
      <c r="O50" s="6" t="str">
        <f t="shared" si="2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 x14ac:dyDescent="0.4">
      <c r="A51">
        <v>47</v>
      </c>
      <c r="E51" s="5"/>
      <c r="N51" t="str">
        <f t="shared" si="1"/>
        <v/>
      </c>
      <c r="O51" s="6" t="str">
        <f t="shared" si="2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 x14ac:dyDescent="0.4">
      <c r="A52">
        <v>48</v>
      </c>
      <c r="E52" s="5"/>
      <c r="N52" t="str">
        <f t="shared" si="1"/>
        <v/>
      </c>
      <c r="O52" s="6" t="str">
        <f t="shared" si="2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 x14ac:dyDescent="0.4">
      <c r="A53">
        <v>49</v>
      </c>
      <c r="E53" s="5"/>
      <c r="N53" t="str">
        <f t="shared" si="1"/>
        <v/>
      </c>
      <c r="O53" s="6" t="str">
        <f t="shared" si="2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 x14ac:dyDescent="0.4">
      <c r="A54">
        <v>50</v>
      </c>
      <c r="E54" s="5"/>
      <c r="N54" t="str">
        <f t="shared" si="1"/>
        <v/>
      </c>
      <c r="O54" s="6" t="str">
        <f t="shared" si="2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 x14ac:dyDescent="0.4">
      <c r="A55">
        <v>51</v>
      </c>
      <c r="E55" s="5"/>
      <c r="N55" t="str">
        <f t="shared" si="1"/>
        <v/>
      </c>
      <c r="O55" s="6" t="str">
        <f t="shared" si="2"/>
        <v/>
      </c>
      <c r="P55">
        <v>71.315704345703125</v>
      </c>
      <c r="S55">
        <v>51</v>
      </c>
      <c r="V55" t="str">
        <f>IF(U55&gt;0,SUM($U$5:U55),"")</f>
        <v/>
      </c>
    </row>
    <row r="56" spans="1:22" x14ac:dyDescent="0.4">
      <c r="A56">
        <v>52</v>
      </c>
      <c r="E56" s="5"/>
      <c r="N56" t="str">
        <f t="shared" si="1"/>
        <v/>
      </c>
      <c r="O56" s="6" t="str">
        <f t="shared" si="2"/>
        <v/>
      </c>
      <c r="P56">
        <v>122.39285278320312</v>
      </c>
      <c r="S56">
        <v>52</v>
      </c>
      <c r="V56" t="str">
        <f>IF(U56&gt;0,SUM($U$5:U56),"")</f>
        <v/>
      </c>
    </row>
    <row r="57" spans="1:22" x14ac:dyDescent="0.4">
      <c r="A57">
        <v>53</v>
      </c>
      <c r="E57" s="5"/>
      <c r="N57" t="str">
        <f t="shared" si="1"/>
        <v/>
      </c>
      <c r="O57" s="6" t="str">
        <f t="shared" si="2"/>
        <v/>
      </c>
      <c r="P57">
        <v>90.881240844726563</v>
      </c>
      <c r="S57">
        <v>53</v>
      </c>
      <c r="V57" t="str">
        <f>IF(U57&gt;0,SUM($U$5:U57),"")</f>
        <v/>
      </c>
    </row>
    <row r="58" spans="1:22" x14ac:dyDescent="0.4">
      <c r="A58">
        <v>54</v>
      </c>
      <c r="E58" s="5"/>
      <c r="N58" t="str">
        <f t="shared" si="1"/>
        <v/>
      </c>
      <c r="O58" s="6" t="str">
        <f t="shared" si="2"/>
        <v/>
      </c>
      <c r="P58">
        <v>63.768272399902344</v>
      </c>
      <c r="S58">
        <v>54</v>
      </c>
      <c r="V58" t="str">
        <f>IF(U58&gt;0,SUM($U$5:U58),"")</f>
        <v/>
      </c>
    </row>
    <row r="59" spans="1:22" x14ac:dyDescent="0.4">
      <c r="A59">
        <v>55</v>
      </c>
      <c r="E59" s="5"/>
      <c r="N59" t="str">
        <f t="shared" si="1"/>
        <v/>
      </c>
      <c r="O59" s="6" t="str">
        <f t="shared" si="2"/>
        <v/>
      </c>
      <c r="P59">
        <v>90.789215087890625</v>
      </c>
      <c r="S59">
        <v>55</v>
      </c>
      <c r="V59" t="str">
        <f>IF(U59&gt;0,SUM($U$5:U59),"")</f>
        <v/>
      </c>
    </row>
    <row r="60" spans="1:22" x14ac:dyDescent="0.4">
      <c r="A60">
        <v>56</v>
      </c>
      <c r="E60" s="5"/>
      <c r="N60" t="str">
        <f t="shared" si="1"/>
        <v/>
      </c>
      <c r="O60" s="6" t="str">
        <f t="shared" si="2"/>
        <v/>
      </c>
      <c r="P60">
        <v>104.42417907714844</v>
      </c>
      <c r="S60">
        <v>56</v>
      </c>
      <c r="V60" t="str">
        <f>IF(U60&gt;0,SUM($U$5:U60),"")</f>
        <v/>
      </c>
    </row>
    <row r="61" spans="1:22" x14ac:dyDescent="0.4">
      <c r="A61">
        <v>57</v>
      </c>
      <c r="E61" s="5"/>
      <c r="N61" t="str">
        <f t="shared" si="1"/>
        <v/>
      </c>
      <c r="O61" s="6" t="str">
        <f t="shared" si="2"/>
        <v/>
      </c>
      <c r="P61">
        <v>76.130661010742188</v>
      </c>
      <c r="S61">
        <v>57</v>
      </c>
      <c r="V61" t="str">
        <f>IF(U61&gt;0,SUM($U$5:U61),"")</f>
        <v/>
      </c>
    </row>
    <row r="62" spans="1:22" x14ac:dyDescent="0.4">
      <c r="A62">
        <v>58</v>
      </c>
      <c r="E62" s="5"/>
      <c r="N62" t="str">
        <f t="shared" si="1"/>
        <v/>
      </c>
      <c r="O62" s="6" t="str">
        <f t="shared" si="2"/>
        <v/>
      </c>
      <c r="P62">
        <v>53.323745727539063</v>
      </c>
      <c r="S62">
        <v>58</v>
      </c>
      <c r="V62" t="str">
        <f>IF(U62&gt;0,SUM($U$5:U62),"")</f>
        <v/>
      </c>
    </row>
    <row r="63" spans="1:22" x14ac:dyDescent="0.4">
      <c r="A63">
        <v>59</v>
      </c>
      <c r="E63" s="5"/>
      <c r="N63" t="str">
        <f t="shared" si="1"/>
        <v/>
      </c>
      <c r="O63" s="6" t="str">
        <f t="shared" si="2"/>
        <v/>
      </c>
      <c r="P63">
        <v>38.363571166992188</v>
      </c>
      <c r="S63">
        <v>59</v>
      </c>
      <c r="V63" t="str">
        <f>IF(U63&gt;0,SUM($U$5:U63),"")</f>
        <v/>
      </c>
    </row>
    <row r="64" spans="1:22" x14ac:dyDescent="0.4">
      <c r="A64">
        <v>60</v>
      </c>
      <c r="E64" s="5"/>
      <c r="N64" t="str">
        <f t="shared" si="1"/>
        <v/>
      </c>
      <c r="O64" s="6" t="str">
        <f t="shared" si="2"/>
        <v/>
      </c>
      <c r="P64">
        <v>126.18891906738281</v>
      </c>
      <c r="S64">
        <v>60</v>
      </c>
      <c r="V64" t="str">
        <f>IF(U64&gt;0,SUM($U$5:U64),"")</f>
        <v/>
      </c>
    </row>
    <row r="65" spans="1:22" x14ac:dyDescent="0.4">
      <c r="A65">
        <v>61</v>
      </c>
      <c r="E65" s="5"/>
      <c r="N65" t="str">
        <f t="shared" si="1"/>
        <v/>
      </c>
      <c r="O65" s="6" t="str">
        <f t="shared" si="2"/>
        <v/>
      </c>
      <c r="P65">
        <v>77.706619262695313</v>
      </c>
      <c r="S65">
        <v>61</v>
      </c>
      <c r="V65" t="str">
        <f>IF(U65&gt;0,SUM($U$5:U65),"")</f>
        <v/>
      </c>
    </row>
    <row r="66" spans="1:22" x14ac:dyDescent="0.4">
      <c r="A66">
        <v>62</v>
      </c>
      <c r="E66" s="5"/>
      <c r="N66" t="str">
        <f t="shared" si="1"/>
        <v/>
      </c>
      <c r="O66" s="6" t="str">
        <f t="shared" si="2"/>
        <v/>
      </c>
      <c r="P66">
        <v>82.95220947265625</v>
      </c>
      <c r="S66">
        <v>62</v>
      </c>
      <c r="V66" t="str">
        <f>IF(U66&gt;0,SUM($U$5:U66),"")</f>
        <v/>
      </c>
    </row>
    <row r="67" spans="1:22" x14ac:dyDescent="0.4">
      <c r="A67">
        <v>63</v>
      </c>
      <c r="E67" s="5"/>
      <c r="N67" t="str">
        <f t="shared" si="1"/>
        <v/>
      </c>
      <c r="O67" s="6" t="str">
        <f t="shared" si="2"/>
        <v/>
      </c>
      <c r="P67">
        <v>37.274688720703125</v>
      </c>
      <c r="S67">
        <v>63</v>
      </c>
      <c r="V67" t="str">
        <f>IF(U67&gt;0,SUM($U$5:U67),"")</f>
        <v/>
      </c>
    </row>
    <row r="68" spans="1:22" x14ac:dyDescent="0.4">
      <c r="A68">
        <v>64</v>
      </c>
      <c r="E68" s="5"/>
      <c r="N68" t="str">
        <f t="shared" si="1"/>
        <v/>
      </c>
      <c r="O68" s="6" t="str">
        <f t="shared" si="2"/>
        <v/>
      </c>
      <c r="P68">
        <v>75.523513793945313</v>
      </c>
      <c r="S68">
        <v>64</v>
      </c>
      <c r="V68" t="str">
        <f>IF(U68&gt;0,SUM($U$5:U68),"")</f>
        <v/>
      </c>
    </row>
    <row r="69" spans="1:22" x14ac:dyDescent="0.4">
      <c r="A69">
        <v>65</v>
      </c>
      <c r="E69" s="5"/>
      <c r="N69" t="str">
        <f t="shared" si="1"/>
        <v/>
      </c>
      <c r="O69" s="6" t="str">
        <f t="shared" ref="O69:O100" si="3">IFERROR(L69/(M69+L69),"")</f>
        <v/>
      </c>
      <c r="P69">
        <v>109.27604675292969</v>
      </c>
      <c r="S69">
        <v>65</v>
      </c>
      <c r="V69" t="str">
        <f>IF(U69&gt;0,SUM($U$5:U69),"")</f>
        <v/>
      </c>
    </row>
    <row r="70" spans="1:22" x14ac:dyDescent="0.4">
      <c r="A70">
        <v>66</v>
      </c>
      <c r="E70" s="5"/>
      <c r="N70" t="str">
        <f t="shared" ref="N70:N133" si="4">IFERROR(IF(L70+M70=0,"",L70+M70),"")</f>
        <v/>
      </c>
      <c r="O70" s="6" t="str">
        <f t="shared" si="3"/>
        <v/>
      </c>
      <c r="P70">
        <v>68.765701293945313</v>
      </c>
      <c r="S70">
        <v>66</v>
      </c>
      <c r="V70" t="str">
        <f>IF(U70&gt;0,SUM($U$5:U70),"")</f>
        <v/>
      </c>
    </row>
    <row r="71" spans="1:22" x14ac:dyDescent="0.4">
      <c r="A71">
        <v>67</v>
      </c>
      <c r="E71" s="5"/>
      <c r="N71" t="str">
        <f t="shared" si="4"/>
        <v/>
      </c>
      <c r="O71" s="6" t="str">
        <f t="shared" si="3"/>
        <v/>
      </c>
      <c r="P71">
        <v>48.228851318359375</v>
      </c>
      <c r="S71">
        <v>67</v>
      </c>
      <c r="V71" t="str">
        <f>IF(U71&gt;0,SUM($U$5:U71),"")</f>
        <v/>
      </c>
    </row>
    <row r="72" spans="1:22" x14ac:dyDescent="0.4">
      <c r="A72">
        <v>68</v>
      </c>
      <c r="E72" s="5"/>
      <c r="N72" t="str">
        <f t="shared" si="4"/>
        <v/>
      </c>
      <c r="O72" s="6" t="str">
        <f t="shared" si="3"/>
        <v/>
      </c>
      <c r="P72">
        <v>47.903152465820313</v>
      </c>
      <c r="S72">
        <v>68</v>
      </c>
      <c r="V72" t="str">
        <f>IF(U72&gt;0,SUM($U$5:U72),"")</f>
        <v/>
      </c>
    </row>
    <row r="73" spans="1:22" x14ac:dyDescent="0.4">
      <c r="A73">
        <v>69</v>
      </c>
      <c r="E73" s="5"/>
      <c r="N73" t="str">
        <f t="shared" si="4"/>
        <v/>
      </c>
      <c r="O73" s="6" t="str">
        <f t="shared" si="3"/>
        <v/>
      </c>
      <c r="P73">
        <v>81.426986694335938</v>
      </c>
      <c r="S73">
        <v>69</v>
      </c>
      <c r="V73" t="str">
        <f>IF(U73&gt;0,SUM($U$5:U73),"")</f>
        <v/>
      </c>
    </row>
    <row r="74" spans="1:22" x14ac:dyDescent="0.4">
      <c r="A74">
        <v>70</v>
      </c>
      <c r="E74" s="5"/>
      <c r="N74" t="str">
        <f t="shared" si="4"/>
        <v/>
      </c>
      <c r="O74" s="6" t="str">
        <f t="shared" si="3"/>
        <v/>
      </c>
      <c r="P74">
        <v>64.411178588867187</v>
      </c>
      <c r="S74">
        <v>70</v>
      </c>
      <c r="V74" t="str">
        <f>IF(U74&gt;0,SUM($U$5:U74),"")</f>
        <v/>
      </c>
    </row>
    <row r="75" spans="1:22" x14ac:dyDescent="0.4">
      <c r="A75">
        <v>71</v>
      </c>
      <c r="E75" s="5"/>
      <c r="N75" t="str">
        <f t="shared" si="4"/>
        <v/>
      </c>
      <c r="O75" s="6" t="str">
        <f t="shared" si="3"/>
        <v/>
      </c>
      <c r="P75">
        <v>84.8056640625</v>
      </c>
      <c r="S75">
        <v>71</v>
      </c>
      <c r="V75" t="str">
        <f>IF(U75&gt;0,SUM($U$5:U75),"")</f>
        <v/>
      </c>
    </row>
    <row r="76" spans="1:22" x14ac:dyDescent="0.4">
      <c r="A76">
        <v>72</v>
      </c>
      <c r="E76" s="5"/>
      <c r="N76" t="str">
        <f t="shared" si="4"/>
        <v/>
      </c>
      <c r="O76" s="6" t="str">
        <f t="shared" si="3"/>
        <v/>
      </c>
      <c r="P76">
        <v>67.761215209960938</v>
      </c>
      <c r="S76">
        <v>72</v>
      </c>
      <c r="V76" t="str">
        <f>IF(U76&gt;0,SUM($U$5:U76),"")</f>
        <v/>
      </c>
    </row>
    <row r="77" spans="1:22" x14ac:dyDescent="0.4">
      <c r="A77">
        <v>73</v>
      </c>
      <c r="E77" s="5"/>
      <c r="N77" t="str">
        <f t="shared" si="4"/>
        <v/>
      </c>
      <c r="O77" s="6" t="str">
        <f t="shared" si="3"/>
        <v/>
      </c>
      <c r="P77">
        <v>55.019012451171875</v>
      </c>
      <c r="S77">
        <v>73</v>
      </c>
      <c r="V77" t="str">
        <f>IF(U77&gt;0,SUM($U$5:U77),"")</f>
        <v/>
      </c>
    </row>
    <row r="78" spans="1:22" x14ac:dyDescent="0.4">
      <c r="A78">
        <v>74</v>
      </c>
      <c r="E78" s="5"/>
      <c r="N78" t="str">
        <f t="shared" si="4"/>
        <v/>
      </c>
      <c r="O78" s="6" t="str">
        <f t="shared" si="3"/>
        <v/>
      </c>
      <c r="P78">
        <v>49.716873168945313</v>
      </c>
      <c r="S78">
        <v>74</v>
      </c>
      <c r="V78" t="str">
        <f>IF(U78&gt;0,SUM($U$5:U78),"")</f>
        <v/>
      </c>
    </row>
    <row r="79" spans="1:22" x14ac:dyDescent="0.4">
      <c r="A79">
        <v>75</v>
      </c>
      <c r="E79" s="5"/>
      <c r="N79" t="str">
        <f t="shared" si="4"/>
        <v/>
      </c>
      <c r="O79" s="6" t="str">
        <f t="shared" si="3"/>
        <v/>
      </c>
      <c r="P79">
        <v>34.708236694335938</v>
      </c>
      <c r="S79">
        <v>75</v>
      </c>
      <c r="V79" t="str">
        <f>IF(U79&gt;0,SUM($U$5:U79),"")</f>
        <v/>
      </c>
    </row>
    <row r="80" spans="1:22" x14ac:dyDescent="0.4">
      <c r="A80">
        <v>76</v>
      </c>
      <c r="E80" s="5"/>
      <c r="N80" t="str">
        <f t="shared" si="4"/>
        <v/>
      </c>
      <c r="O80" s="6" t="str">
        <f t="shared" si="3"/>
        <v/>
      </c>
      <c r="P80">
        <v>45.437057495117187</v>
      </c>
      <c r="S80">
        <v>76</v>
      </c>
      <c r="V80" t="str">
        <f>IF(U80&gt;0,SUM($U$5:U80),"")</f>
        <v/>
      </c>
    </row>
    <row r="81" spans="1:22" x14ac:dyDescent="0.4">
      <c r="A81">
        <v>77</v>
      </c>
      <c r="E81" s="5"/>
      <c r="N81" t="str">
        <f t="shared" si="4"/>
        <v/>
      </c>
      <c r="O81" s="6" t="str">
        <f t="shared" si="3"/>
        <v/>
      </c>
      <c r="P81">
        <v>99.811508178710938</v>
      </c>
      <c r="S81">
        <v>77</v>
      </c>
      <c r="V81" t="str">
        <f>IF(U81&gt;0,SUM($U$5:U81),"")</f>
        <v/>
      </c>
    </row>
    <row r="82" spans="1:22" x14ac:dyDescent="0.4">
      <c r="A82">
        <v>78</v>
      </c>
      <c r="E82" s="5"/>
      <c r="N82" t="str">
        <f t="shared" si="4"/>
        <v/>
      </c>
      <c r="O82" s="6" t="str">
        <f t="shared" si="3"/>
        <v/>
      </c>
      <c r="P82">
        <v>22.803359985351563</v>
      </c>
      <c r="S82">
        <v>78</v>
      </c>
      <c r="V82" t="str">
        <f>IF(U82&gt;0,SUM($U$5:U82),"")</f>
        <v/>
      </c>
    </row>
    <row r="83" spans="1:22" x14ac:dyDescent="0.4">
      <c r="A83">
        <v>79</v>
      </c>
      <c r="E83" s="5"/>
      <c r="N83" t="str">
        <f t="shared" si="4"/>
        <v/>
      </c>
      <c r="O83" s="6" t="str">
        <f t="shared" si="3"/>
        <v/>
      </c>
      <c r="P83">
        <v>23.5653076171875</v>
      </c>
      <c r="S83">
        <v>79</v>
      </c>
      <c r="V83" t="str">
        <f>IF(U83&gt;0,SUM($U$5:U83),"")</f>
        <v/>
      </c>
    </row>
    <row r="84" spans="1:22" x14ac:dyDescent="0.4">
      <c r="A84">
        <v>80</v>
      </c>
      <c r="E84" s="5"/>
      <c r="N84" t="str">
        <f t="shared" si="4"/>
        <v/>
      </c>
      <c r="O84" s="6" t="str">
        <f t="shared" si="3"/>
        <v/>
      </c>
      <c r="P84">
        <v>56.83306884765625</v>
      </c>
      <c r="S84">
        <v>80</v>
      </c>
      <c r="V84" t="str">
        <f>IF(U84&gt;0,SUM($U$5:U84),"")</f>
        <v/>
      </c>
    </row>
    <row r="85" spans="1:22" x14ac:dyDescent="0.4">
      <c r="A85">
        <v>81</v>
      </c>
      <c r="E85" s="5"/>
      <c r="N85" t="str">
        <f t="shared" si="4"/>
        <v/>
      </c>
      <c r="O85" s="6" t="str">
        <f t="shared" si="3"/>
        <v/>
      </c>
      <c r="P85">
        <v>57.448348999023438</v>
      </c>
      <c r="S85">
        <v>81</v>
      </c>
      <c r="V85" t="str">
        <f>IF(U85&gt;0,SUM($U$5:U85),"")</f>
        <v/>
      </c>
    </row>
    <row r="86" spans="1:22" x14ac:dyDescent="0.4">
      <c r="A86">
        <v>82</v>
      </c>
      <c r="E86" s="5"/>
      <c r="N86" t="str">
        <f t="shared" si="4"/>
        <v/>
      </c>
      <c r="O86" s="6" t="str">
        <f t="shared" si="3"/>
        <v/>
      </c>
      <c r="P86">
        <v>70.331893920898437</v>
      </c>
      <c r="S86">
        <v>82</v>
      </c>
      <c r="V86" t="str">
        <f>IF(U86&gt;0,SUM($U$5:U86),"")</f>
        <v/>
      </c>
    </row>
    <row r="87" spans="1:22" x14ac:dyDescent="0.4">
      <c r="A87">
        <v>83</v>
      </c>
      <c r="E87" s="5"/>
      <c r="N87" t="str">
        <f t="shared" si="4"/>
        <v/>
      </c>
      <c r="O87" s="6" t="str">
        <f t="shared" si="3"/>
        <v/>
      </c>
      <c r="P87">
        <v>95.318939208984375</v>
      </c>
      <c r="S87">
        <v>83</v>
      </c>
      <c r="V87" t="str">
        <f>IF(U87&gt;0,SUM($U$5:U87),"")</f>
        <v/>
      </c>
    </row>
    <row r="88" spans="1:22" x14ac:dyDescent="0.4">
      <c r="A88">
        <v>84</v>
      </c>
      <c r="E88" s="5"/>
      <c r="N88" t="str">
        <f t="shared" si="4"/>
        <v/>
      </c>
      <c r="O88" s="6" t="str">
        <f t="shared" si="3"/>
        <v/>
      </c>
      <c r="P88">
        <v>53.867111206054688</v>
      </c>
      <c r="S88">
        <v>84</v>
      </c>
      <c r="V88" t="str">
        <f>IF(U88&gt;0,SUM($U$5:U88),"")</f>
        <v/>
      </c>
    </row>
    <row r="89" spans="1:22" x14ac:dyDescent="0.4">
      <c r="A89">
        <v>85</v>
      </c>
      <c r="E89" s="5"/>
      <c r="N89" t="str">
        <f t="shared" si="4"/>
        <v/>
      </c>
      <c r="O89" s="6" t="str">
        <f t="shared" si="3"/>
        <v/>
      </c>
      <c r="P89">
        <v>15.866317749023438</v>
      </c>
      <c r="S89">
        <v>85</v>
      </c>
      <c r="V89" t="str">
        <f>IF(U89&gt;0,SUM($U$5:U89),"")</f>
        <v/>
      </c>
    </row>
    <row r="90" spans="1:22" x14ac:dyDescent="0.4">
      <c r="A90">
        <v>86</v>
      </c>
      <c r="E90" s="5"/>
      <c r="N90" t="str">
        <f t="shared" si="4"/>
        <v/>
      </c>
      <c r="O90" s="6" t="str">
        <f t="shared" si="3"/>
        <v/>
      </c>
      <c r="P90">
        <v>43.688583374023438</v>
      </c>
      <c r="S90">
        <v>86</v>
      </c>
      <c r="V90" t="str">
        <f>IF(U90&gt;0,SUM($U$5:U90),"")</f>
        <v/>
      </c>
    </row>
    <row r="91" spans="1:22" x14ac:dyDescent="0.4">
      <c r="A91">
        <v>87</v>
      </c>
      <c r="E91" s="5"/>
      <c r="N91" t="str">
        <f t="shared" si="4"/>
        <v/>
      </c>
      <c r="O91" s="6" t="str">
        <f t="shared" si="3"/>
        <v/>
      </c>
      <c r="P91">
        <v>17.853561401367188</v>
      </c>
      <c r="S91">
        <v>87</v>
      </c>
      <c r="V91" t="str">
        <f>IF(U91&gt;0,SUM($U$5:U91),"")</f>
        <v/>
      </c>
    </row>
    <row r="92" spans="1:22" x14ac:dyDescent="0.4">
      <c r="A92">
        <v>88</v>
      </c>
      <c r="E92" s="5"/>
      <c r="N92" t="str">
        <f t="shared" si="4"/>
        <v/>
      </c>
      <c r="O92" s="6" t="str">
        <f t="shared" si="3"/>
        <v/>
      </c>
      <c r="P92">
        <v>53.906265258789062</v>
      </c>
      <c r="S92">
        <v>88</v>
      </c>
      <c r="V92" t="str">
        <f>IF(U92&gt;0,SUM($U$5:U92),"")</f>
        <v/>
      </c>
    </row>
    <row r="93" spans="1:22" x14ac:dyDescent="0.4">
      <c r="A93">
        <v>89</v>
      </c>
      <c r="E93" s="5"/>
      <c r="N93" t="str">
        <f t="shared" si="4"/>
        <v/>
      </c>
      <c r="O93" s="6" t="str">
        <f t="shared" si="3"/>
        <v/>
      </c>
      <c r="P93">
        <v>71.328262329101562</v>
      </c>
      <c r="S93">
        <v>89</v>
      </c>
      <c r="V93" t="str">
        <f>IF(U93&gt;0,SUM($U$5:U93),"")</f>
        <v/>
      </c>
    </row>
    <row r="94" spans="1:22" x14ac:dyDescent="0.4">
      <c r="A94">
        <v>90</v>
      </c>
      <c r="E94" s="5"/>
      <c r="N94" t="str">
        <f t="shared" si="4"/>
        <v/>
      </c>
      <c r="O94" s="6" t="str">
        <f t="shared" si="3"/>
        <v/>
      </c>
      <c r="P94">
        <v>40.177574157714844</v>
      </c>
      <c r="S94">
        <v>90</v>
      </c>
      <c r="V94" t="str">
        <f>IF(U94&gt;0,SUM($U$5:U94),"")</f>
        <v/>
      </c>
    </row>
    <row r="95" spans="1:22" x14ac:dyDescent="0.4">
      <c r="A95">
        <v>91</v>
      </c>
      <c r="E95" s="5"/>
      <c r="N95" t="str">
        <f t="shared" si="4"/>
        <v/>
      </c>
      <c r="O95" s="6" t="str">
        <f t="shared" si="3"/>
        <v/>
      </c>
      <c r="P95">
        <v>46.741592407226563</v>
      </c>
      <c r="S95">
        <v>91</v>
      </c>
      <c r="V95" t="str">
        <f>IF(U95&gt;0,SUM($U$5:U95),"")</f>
        <v/>
      </c>
    </row>
    <row r="96" spans="1:22" x14ac:dyDescent="0.4">
      <c r="A96">
        <v>92</v>
      </c>
      <c r="E96" s="5"/>
      <c r="N96" t="str">
        <f t="shared" si="4"/>
        <v/>
      </c>
      <c r="O96" s="6" t="str">
        <f t="shared" si="3"/>
        <v/>
      </c>
      <c r="P96">
        <v>49.269256591796875</v>
      </c>
      <c r="S96">
        <v>92</v>
      </c>
      <c r="V96" t="str">
        <f>IF(U96&gt;0,SUM($U$5:U96),"")</f>
        <v/>
      </c>
    </row>
    <row r="97" spans="1:22" x14ac:dyDescent="0.4">
      <c r="A97">
        <v>93</v>
      </c>
      <c r="E97" s="5"/>
      <c r="N97" t="str">
        <f t="shared" si="4"/>
        <v/>
      </c>
      <c r="O97" s="6" t="str">
        <f t="shared" si="3"/>
        <v/>
      </c>
      <c r="P97">
        <v>10.782974243164063</v>
      </c>
      <c r="S97">
        <v>93</v>
      </c>
      <c r="V97" t="str">
        <f>IF(U97&gt;0,SUM($U$5:U97),"")</f>
        <v/>
      </c>
    </row>
    <row r="98" spans="1:22" x14ac:dyDescent="0.4">
      <c r="A98">
        <v>94</v>
      </c>
      <c r="E98" s="5"/>
      <c r="N98" t="str">
        <f t="shared" si="4"/>
        <v/>
      </c>
      <c r="O98" s="6" t="str">
        <f t="shared" si="3"/>
        <v/>
      </c>
      <c r="P98">
        <v>37.645767211914063</v>
      </c>
      <c r="S98">
        <v>94</v>
      </c>
      <c r="V98" t="str">
        <f>IF(U98&gt;0,SUM($U$5:U98),"")</f>
        <v/>
      </c>
    </row>
    <row r="99" spans="1:22" x14ac:dyDescent="0.4">
      <c r="A99">
        <v>95</v>
      </c>
      <c r="E99" s="5"/>
      <c r="N99" t="str">
        <f t="shared" si="4"/>
        <v/>
      </c>
      <c r="O99" s="6" t="str">
        <f t="shared" si="3"/>
        <v/>
      </c>
      <c r="P99">
        <v>3.21563720703125</v>
      </c>
      <c r="S99">
        <v>95</v>
      </c>
      <c r="V99" t="str">
        <f>IF(U99&gt;0,SUM($U$5:U99),"")</f>
        <v/>
      </c>
    </row>
    <row r="100" spans="1:22" x14ac:dyDescent="0.4">
      <c r="A100">
        <v>96</v>
      </c>
      <c r="E100" s="5"/>
      <c r="N100" t="str">
        <f t="shared" si="4"/>
        <v/>
      </c>
      <c r="O100" s="6" t="str">
        <f t="shared" si="3"/>
        <v/>
      </c>
      <c r="P100">
        <v>32.867019653320312</v>
      </c>
      <c r="S100">
        <v>96</v>
      </c>
      <c r="V100" t="str">
        <f>IF(U100&gt;0,SUM($U$5:U100),"")</f>
        <v/>
      </c>
    </row>
    <row r="101" spans="1:22" x14ac:dyDescent="0.4">
      <c r="A101">
        <v>97</v>
      </c>
      <c r="E101" s="5"/>
      <c r="N101" t="str">
        <f t="shared" si="4"/>
        <v/>
      </c>
      <c r="O101" s="6" t="str">
        <f t="shared" ref="O101:O127" si="5">IFERROR(L101/(M101+L101),"")</f>
        <v/>
      </c>
      <c r="P101">
        <v>71.332870483398438</v>
      </c>
      <c r="S101">
        <v>97</v>
      </c>
      <c r="V101" t="str">
        <f>IF(U101&gt;0,SUM($U$5:U101),"")</f>
        <v/>
      </c>
    </row>
    <row r="102" spans="1:22" x14ac:dyDescent="0.4">
      <c r="A102">
        <v>98</v>
      </c>
      <c r="E102" s="5"/>
      <c r="N102" t="str">
        <f t="shared" si="4"/>
        <v/>
      </c>
      <c r="O102" s="6" t="str">
        <f t="shared" si="5"/>
        <v/>
      </c>
      <c r="P102">
        <v>64.602890014648437</v>
      </c>
      <c r="S102">
        <v>98</v>
      </c>
      <c r="V102" t="str">
        <f>IF(U102&gt;0,SUM($U$5:U102),"")</f>
        <v/>
      </c>
    </row>
    <row r="103" spans="1:22" x14ac:dyDescent="0.4">
      <c r="A103">
        <v>99</v>
      </c>
      <c r="E103" s="5"/>
      <c r="N103" t="str">
        <f t="shared" si="4"/>
        <v/>
      </c>
      <c r="O103" s="6" t="str">
        <f t="shared" si="5"/>
        <v/>
      </c>
      <c r="P103">
        <v>21.474868774414063</v>
      </c>
      <c r="S103">
        <v>99</v>
      </c>
      <c r="V103" t="str">
        <f>IF(U103&gt;0,SUM($U$5:U103),"")</f>
        <v/>
      </c>
    </row>
    <row r="104" spans="1:22" x14ac:dyDescent="0.4">
      <c r="A104">
        <v>100</v>
      </c>
      <c r="E104" s="5"/>
      <c r="N104" t="str">
        <f t="shared" si="4"/>
        <v/>
      </c>
      <c r="O104" s="6" t="str">
        <f t="shared" si="5"/>
        <v/>
      </c>
      <c r="P104">
        <v>56.342315673828125</v>
      </c>
      <c r="S104">
        <v>100</v>
      </c>
      <c r="V104" t="str">
        <f>IF(U104&gt;0,SUM($U$5:U104),"")</f>
        <v/>
      </c>
    </row>
    <row r="105" spans="1:22" x14ac:dyDescent="0.4">
      <c r="A105">
        <v>101</v>
      </c>
      <c r="N105" t="str">
        <f t="shared" si="4"/>
        <v/>
      </c>
      <c r="O105" s="6" t="str">
        <f t="shared" si="5"/>
        <v/>
      </c>
      <c r="P105">
        <v>38.605972290039063</v>
      </c>
      <c r="S105">
        <v>101</v>
      </c>
      <c r="V105" t="str">
        <f>IF(U105&gt;0,SUM($U$5:U105),"")</f>
        <v/>
      </c>
    </row>
    <row r="106" spans="1:22" x14ac:dyDescent="0.4">
      <c r="A106">
        <v>102</v>
      </c>
      <c r="N106" t="str">
        <f t="shared" si="4"/>
        <v/>
      </c>
      <c r="O106" s="6" t="str">
        <f t="shared" si="5"/>
        <v/>
      </c>
      <c r="P106">
        <v>24.621597290039063</v>
      </c>
      <c r="S106">
        <v>102</v>
      </c>
      <c r="V106" t="str">
        <f>IF(U106&gt;0,SUM($U$5:U106),"")</f>
        <v/>
      </c>
    </row>
    <row r="107" spans="1:22" x14ac:dyDescent="0.4">
      <c r="A107">
        <v>103</v>
      </c>
      <c r="N107" t="str">
        <f t="shared" si="4"/>
        <v/>
      </c>
      <c r="O107" s="6" t="str">
        <f t="shared" si="5"/>
        <v/>
      </c>
      <c r="P107">
        <v>23.099502563476563</v>
      </c>
      <c r="S107">
        <v>103</v>
      </c>
      <c r="V107" t="str">
        <f>IF(U107&gt;0,SUM($U$5:U107),"")</f>
        <v/>
      </c>
    </row>
    <row r="108" spans="1:22" x14ac:dyDescent="0.4">
      <c r="A108">
        <v>104</v>
      </c>
      <c r="N108" t="str">
        <f t="shared" si="4"/>
        <v/>
      </c>
      <c r="O108" s="6" t="str">
        <f t="shared" si="5"/>
        <v/>
      </c>
      <c r="P108">
        <v>49.483978271484375</v>
      </c>
      <c r="S108">
        <v>104</v>
      </c>
      <c r="V108" t="str">
        <f>IF(U108&gt;0,SUM($U$5:U108),"")</f>
        <v/>
      </c>
    </row>
    <row r="109" spans="1:22" x14ac:dyDescent="0.4">
      <c r="A109">
        <v>105</v>
      </c>
      <c r="N109" t="str">
        <f t="shared" si="4"/>
        <v/>
      </c>
      <c r="O109" s="6" t="str">
        <f t="shared" si="5"/>
        <v/>
      </c>
      <c r="P109">
        <v>11.21075439453125</v>
      </c>
      <c r="S109">
        <v>105</v>
      </c>
      <c r="V109" t="str">
        <f>IF(U109&gt;0,SUM($U$5:U109),"")</f>
        <v/>
      </c>
    </row>
    <row r="110" spans="1:22" x14ac:dyDescent="0.4">
      <c r="A110">
        <v>106</v>
      </c>
      <c r="N110" t="str">
        <f t="shared" si="4"/>
        <v/>
      </c>
      <c r="O110" s="6" t="str">
        <f t="shared" si="5"/>
        <v/>
      </c>
      <c r="P110">
        <v>15.408157348632813</v>
      </c>
      <c r="S110">
        <v>106</v>
      </c>
      <c r="V110" t="str">
        <f>IF(U110&gt;0,SUM($U$5:U110),"")</f>
        <v/>
      </c>
    </row>
    <row r="111" spans="1:22" x14ac:dyDescent="0.4">
      <c r="A111">
        <v>107</v>
      </c>
      <c r="N111" t="str">
        <f t="shared" si="4"/>
        <v/>
      </c>
      <c r="O111" s="6" t="str">
        <f t="shared" si="5"/>
        <v/>
      </c>
      <c r="P111">
        <v>36.005859375</v>
      </c>
      <c r="S111">
        <v>107</v>
      </c>
      <c r="V111" t="str">
        <f>IF(U111&gt;0,SUM($U$5:U111),"")</f>
        <v/>
      </c>
    </row>
    <row r="112" spans="1:22" x14ac:dyDescent="0.4">
      <c r="A112">
        <v>108</v>
      </c>
      <c r="N112" t="str">
        <f t="shared" si="4"/>
        <v/>
      </c>
      <c r="O112" s="6" t="str">
        <f t="shared" si="5"/>
        <v/>
      </c>
      <c r="P112">
        <v>35.041946411132813</v>
      </c>
      <c r="S112">
        <v>108</v>
      </c>
      <c r="V112" t="str">
        <f>IF(U112&gt;0,SUM($U$5:U112),"")</f>
        <v/>
      </c>
    </row>
    <row r="113" spans="1:22" x14ac:dyDescent="0.4">
      <c r="A113">
        <v>109</v>
      </c>
      <c r="N113" t="str">
        <f t="shared" si="4"/>
        <v/>
      </c>
      <c r="O113" s="6" t="str">
        <f t="shared" si="5"/>
        <v/>
      </c>
      <c r="P113">
        <v>78.81011962890625</v>
      </c>
      <c r="S113">
        <v>109</v>
      </c>
      <c r="V113" t="str">
        <f>IF(U113&gt;0,SUM($U$5:U113),"")</f>
        <v/>
      </c>
    </row>
    <row r="114" spans="1:22" x14ac:dyDescent="0.4">
      <c r="A114">
        <v>110</v>
      </c>
      <c r="N114" t="str">
        <f t="shared" si="4"/>
        <v/>
      </c>
      <c r="O114" s="6" t="str">
        <f t="shared" si="5"/>
        <v/>
      </c>
      <c r="P114">
        <v>34.670089721679688</v>
      </c>
      <c r="S114">
        <v>110</v>
      </c>
      <c r="V114" t="str">
        <f>IF(U114&gt;0,SUM($U$5:U114),"")</f>
        <v/>
      </c>
    </row>
    <row r="115" spans="1:22" x14ac:dyDescent="0.4">
      <c r="A115">
        <v>111</v>
      </c>
      <c r="N115" t="str">
        <f t="shared" si="4"/>
        <v/>
      </c>
      <c r="O115" s="6" t="str">
        <f t="shared" si="5"/>
        <v/>
      </c>
      <c r="P115">
        <v>17.0068359375</v>
      </c>
      <c r="S115">
        <v>111</v>
      </c>
      <c r="V115" t="str">
        <f>IF(U115&gt;0,SUM($U$5:U115),"")</f>
        <v/>
      </c>
    </row>
    <row r="116" spans="1:22" x14ac:dyDescent="0.4">
      <c r="A116">
        <v>112</v>
      </c>
      <c r="N116" t="str">
        <f t="shared" si="4"/>
        <v/>
      </c>
      <c r="O116" s="6" t="str">
        <f t="shared" si="5"/>
        <v/>
      </c>
      <c r="P116">
        <v>26.162460327148438</v>
      </c>
      <c r="S116">
        <v>112</v>
      </c>
      <c r="V116" t="str">
        <f>IF(U116&gt;0,SUM($U$5:U116),"")</f>
        <v/>
      </c>
    </row>
    <row r="117" spans="1:22" x14ac:dyDescent="0.4">
      <c r="A117">
        <v>113</v>
      </c>
      <c r="N117" t="str">
        <f t="shared" si="4"/>
        <v/>
      </c>
      <c r="O117" s="6" t="str">
        <f t="shared" si="5"/>
        <v/>
      </c>
      <c r="P117">
        <v>33.041778564453125</v>
      </c>
      <c r="S117">
        <v>113</v>
      </c>
      <c r="V117" t="str">
        <f>IF(U117&gt;0,SUM($U$5:U117),"")</f>
        <v/>
      </c>
    </row>
    <row r="118" spans="1:22" x14ac:dyDescent="0.4">
      <c r="A118">
        <v>114</v>
      </c>
      <c r="N118" t="str">
        <f t="shared" si="4"/>
        <v/>
      </c>
      <c r="O118" s="6" t="str">
        <f t="shared" si="5"/>
        <v/>
      </c>
      <c r="P118">
        <v>63.338607788085938</v>
      </c>
      <c r="S118">
        <v>114</v>
      </c>
      <c r="V118" t="str">
        <f>IF(U118&gt;0,SUM($U$5:U118),"")</f>
        <v/>
      </c>
    </row>
    <row r="119" spans="1:22" x14ac:dyDescent="0.4">
      <c r="A119">
        <v>115</v>
      </c>
      <c r="N119" t="str">
        <f t="shared" si="4"/>
        <v/>
      </c>
      <c r="O119" s="6" t="str">
        <f t="shared" si="5"/>
        <v/>
      </c>
      <c r="P119">
        <v>14.439895629882812</v>
      </c>
      <c r="S119">
        <v>115</v>
      </c>
      <c r="V119" t="str">
        <f>IF(U119&gt;0,SUM($U$5:U119),"")</f>
        <v/>
      </c>
    </row>
    <row r="120" spans="1:22" x14ac:dyDescent="0.4">
      <c r="A120">
        <v>116</v>
      </c>
      <c r="N120" t="str">
        <f t="shared" si="4"/>
        <v/>
      </c>
      <c r="O120" s="6" t="str">
        <f t="shared" si="5"/>
        <v/>
      </c>
      <c r="P120">
        <v>75.724319458007812</v>
      </c>
      <c r="S120">
        <v>116</v>
      </c>
      <c r="V120" t="str">
        <f>IF(U120&gt;0,SUM($U$5:U120),"")</f>
        <v/>
      </c>
    </row>
    <row r="121" spans="1:22" x14ac:dyDescent="0.4">
      <c r="A121">
        <v>117</v>
      </c>
      <c r="N121" t="str">
        <f t="shared" si="4"/>
        <v/>
      </c>
      <c r="O121" s="6" t="str">
        <f t="shared" si="5"/>
        <v/>
      </c>
      <c r="P121">
        <v>22.962112426757813</v>
      </c>
      <c r="S121">
        <v>117</v>
      </c>
      <c r="V121" t="str">
        <f>IF(U121&gt;0,SUM($U$5:U121),"")</f>
        <v/>
      </c>
    </row>
    <row r="122" spans="1:22" x14ac:dyDescent="0.4">
      <c r="A122">
        <v>118</v>
      </c>
      <c r="N122" t="str">
        <f t="shared" si="4"/>
        <v/>
      </c>
      <c r="O122" s="6" t="str">
        <f t="shared" si="5"/>
        <v/>
      </c>
      <c r="P122">
        <v>17.963607788085937</v>
      </c>
      <c r="S122">
        <v>118</v>
      </c>
      <c r="V122" t="str">
        <f>IF(U122&gt;0,SUM($U$5:U122),"")</f>
        <v/>
      </c>
    </row>
    <row r="123" spans="1:22" x14ac:dyDescent="0.4">
      <c r="A123">
        <v>119</v>
      </c>
      <c r="N123" t="str">
        <f t="shared" si="4"/>
        <v/>
      </c>
      <c r="O123" s="6" t="str">
        <f t="shared" si="5"/>
        <v/>
      </c>
      <c r="P123">
        <v>45.448944091796875</v>
      </c>
      <c r="S123">
        <v>119</v>
      </c>
      <c r="V123" t="str">
        <f>IF(U123&gt;0,SUM($U$5:U123),"")</f>
        <v/>
      </c>
    </row>
    <row r="124" spans="1:22" x14ac:dyDescent="0.4">
      <c r="A124">
        <v>120</v>
      </c>
      <c r="N124" t="str">
        <f t="shared" si="4"/>
        <v/>
      </c>
      <c r="O124" s="6" t="str">
        <f t="shared" si="5"/>
        <v/>
      </c>
      <c r="P124">
        <v>6.8294219970703125</v>
      </c>
      <c r="S124">
        <v>120</v>
      </c>
      <c r="V124" t="str">
        <f>IF(U124&gt;0,SUM($U$5:U124),"")</f>
        <v/>
      </c>
    </row>
    <row r="125" spans="1:22" x14ac:dyDescent="0.4">
      <c r="A125">
        <v>121</v>
      </c>
      <c r="N125" t="str">
        <f t="shared" si="4"/>
        <v/>
      </c>
      <c r="O125" s="6" t="str">
        <f t="shared" si="5"/>
        <v/>
      </c>
      <c r="P125">
        <v>32.271499633789063</v>
      </c>
      <c r="S125">
        <v>121</v>
      </c>
      <c r="V125" t="str">
        <f>IF(U125&gt;0,SUM($U$5:U125),"")</f>
        <v/>
      </c>
    </row>
    <row r="126" spans="1:22" x14ac:dyDescent="0.4">
      <c r="A126">
        <v>122</v>
      </c>
      <c r="N126" t="str">
        <f t="shared" si="4"/>
        <v/>
      </c>
      <c r="O126" s="6" t="str">
        <f t="shared" si="5"/>
        <v/>
      </c>
      <c r="P126">
        <v>18.0362548828125</v>
      </c>
      <c r="S126">
        <v>122</v>
      </c>
      <c r="V126" t="str">
        <f>IF(U126&gt;0,SUM($U$5:U126),"")</f>
        <v/>
      </c>
    </row>
    <row r="127" spans="1:22" x14ac:dyDescent="0.4">
      <c r="A127">
        <v>123</v>
      </c>
      <c r="N127" t="str">
        <f t="shared" si="4"/>
        <v/>
      </c>
      <c r="O127" s="6" t="str">
        <f t="shared" si="5"/>
        <v/>
      </c>
      <c r="P127">
        <v>21.321624755859375</v>
      </c>
      <c r="S127">
        <v>123</v>
      </c>
      <c r="V127" t="str">
        <f>IF(U127&gt;0,SUM($U$5:U127),"")</f>
        <v/>
      </c>
    </row>
    <row r="128" spans="1:22" x14ac:dyDescent="0.4">
      <c r="A128">
        <v>124</v>
      </c>
      <c r="N128" t="str">
        <f t="shared" si="4"/>
        <v/>
      </c>
      <c r="O128" s="6"/>
      <c r="S128">
        <v>124</v>
      </c>
      <c r="V128" t="str">
        <f>IF(U128&gt;0,SUM($U$5:U128),"")</f>
        <v/>
      </c>
    </row>
    <row r="129" spans="1:22" x14ac:dyDescent="0.4">
      <c r="A129">
        <v>125</v>
      </c>
      <c r="N129" t="str">
        <f t="shared" si="4"/>
        <v/>
      </c>
      <c r="O129" s="6"/>
      <c r="S129">
        <v>125</v>
      </c>
      <c r="V129" t="str">
        <f>IF(U129&gt;0,SUM($U$5:U129),"")</f>
        <v/>
      </c>
    </row>
    <row r="130" spans="1:22" x14ac:dyDescent="0.4">
      <c r="A130">
        <v>126</v>
      </c>
      <c r="N130" t="str">
        <f t="shared" si="4"/>
        <v/>
      </c>
      <c r="O130" s="6"/>
      <c r="S130">
        <v>126</v>
      </c>
      <c r="V130" t="str">
        <f>IF(U130&gt;0,SUM($U$5:U130),"")</f>
        <v/>
      </c>
    </row>
    <row r="131" spans="1:22" x14ac:dyDescent="0.4">
      <c r="A131">
        <v>127</v>
      </c>
      <c r="N131" t="str">
        <f t="shared" si="4"/>
        <v/>
      </c>
      <c r="O131" s="6"/>
      <c r="S131">
        <v>127</v>
      </c>
      <c r="V131" t="str">
        <f>IF(U131&gt;0,SUM($U$5:U131),"")</f>
        <v/>
      </c>
    </row>
    <row r="132" spans="1:22" x14ac:dyDescent="0.4">
      <c r="A132">
        <v>128</v>
      </c>
      <c r="N132" t="str">
        <f t="shared" si="4"/>
        <v/>
      </c>
      <c r="O132" s="6"/>
      <c r="S132">
        <v>128</v>
      </c>
      <c r="V132" t="str">
        <f>IF(U132&gt;0,SUM($U$5:U132),"")</f>
        <v/>
      </c>
    </row>
    <row r="133" spans="1:22" x14ac:dyDescent="0.4">
      <c r="A133">
        <v>129</v>
      </c>
      <c r="N133" t="str">
        <f t="shared" si="4"/>
        <v/>
      </c>
      <c r="O133" s="6"/>
      <c r="S133">
        <v>129</v>
      </c>
      <c r="V133" t="str">
        <f>IF(U133&gt;0,SUM($U$5:U133),"")</f>
        <v/>
      </c>
    </row>
    <row r="134" spans="1:22" x14ac:dyDescent="0.4">
      <c r="A134">
        <v>130</v>
      </c>
      <c r="N134" t="str">
        <f t="shared" ref="N134:N197" si="6">IFERROR(IF(L134+M134=0,"",L134+M134),"")</f>
        <v/>
      </c>
      <c r="O134" s="6"/>
      <c r="S134">
        <v>130</v>
      </c>
      <c r="V134" t="str">
        <f>IF(U134&gt;0,SUM($U$5:U134),"")</f>
        <v/>
      </c>
    </row>
    <row r="135" spans="1:22" x14ac:dyDescent="0.4">
      <c r="A135">
        <v>131</v>
      </c>
      <c r="N135" t="str">
        <f t="shared" si="6"/>
        <v/>
      </c>
      <c r="O135" s="6"/>
      <c r="S135">
        <v>131</v>
      </c>
      <c r="V135" t="str">
        <f>IF(U135&gt;0,SUM($U$5:U135),"")</f>
        <v/>
      </c>
    </row>
    <row r="136" spans="1:22" x14ac:dyDescent="0.4">
      <c r="A136">
        <v>132</v>
      </c>
      <c r="N136" t="str">
        <f t="shared" si="6"/>
        <v/>
      </c>
      <c r="O136" s="6"/>
      <c r="S136">
        <v>132</v>
      </c>
      <c r="V136" t="str">
        <f>IF(U136&gt;0,SUM($U$5:U136),"")</f>
        <v/>
      </c>
    </row>
    <row r="137" spans="1:22" x14ac:dyDescent="0.4">
      <c r="A137">
        <v>133</v>
      </c>
      <c r="N137" t="str">
        <f t="shared" si="6"/>
        <v/>
      </c>
      <c r="O137" s="6"/>
      <c r="S137">
        <v>133</v>
      </c>
      <c r="V137" t="str">
        <f>IF(U137&gt;0,SUM($U$5:U137),"")</f>
        <v/>
      </c>
    </row>
    <row r="138" spans="1:22" x14ac:dyDescent="0.4">
      <c r="A138">
        <v>134</v>
      </c>
      <c r="N138" t="str">
        <f t="shared" si="6"/>
        <v/>
      </c>
      <c r="O138" s="6"/>
      <c r="S138">
        <v>134</v>
      </c>
      <c r="V138" t="str">
        <f>IF(U138&gt;0,SUM($U$5:U138),"")</f>
        <v/>
      </c>
    </row>
    <row r="139" spans="1:22" x14ac:dyDescent="0.4">
      <c r="A139">
        <v>135</v>
      </c>
      <c r="N139" t="str">
        <f t="shared" si="6"/>
        <v/>
      </c>
      <c r="O139" s="6"/>
      <c r="S139">
        <v>135</v>
      </c>
      <c r="V139" t="str">
        <f>IF(U139&gt;0,SUM($U$5:U139),"")</f>
        <v/>
      </c>
    </row>
    <row r="140" spans="1:22" x14ac:dyDescent="0.4">
      <c r="A140">
        <v>136</v>
      </c>
      <c r="N140" t="str">
        <f t="shared" si="6"/>
        <v/>
      </c>
      <c r="O140" s="6"/>
      <c r="S140">
        <v>136</v>
      </c>
      <c r="V140" t="str">
        <f>IF(U140&gt;0,SUM($U$5:U140),"")</f>
        <v/>
      </c>
    </row>
    <row r="141" spans="1:22" x14ac:dyDescent="0.4">
      <c r="A141">
        <v>137</v>
      </c>
      <c r="N141" t="str">
        <f t="shared" si="6"/>
        <v/>
      </c>
      <c r="O141" s="6"/>
      <c r="S141">
        <v>137</v>
      </c>
      <c r="V141" t="str">
        <f>IF(U141&gt;0,SUM($U$5:U141),"")</f>
        <v/>
      </c>
    </row>
    <row r="142" spans="1:22" x14ac:dyDescent="0.4">
      <c r="A142">
        <v>138</v>
      </c>
      <c r="N142" t="str">
        <f t="shared" si="6"/>
        <v/>
      </c>
      <c r="O142" s="6"/>
      <c r="S142">
        <v>138</v>
      </c>
      <c r="V142" t="str">
        <f>IF(U142&gt;0,SUM($U$5:U142),"")</f>
        <v/>
      </c>
    </row>
    <row r="143" spans="1:22" x14ac:dyDescent="0.4">
      <c r="A143">
        <v>139</v>
      </c>
      <c r="N143" t="str">
        <f t="shared" si="6"/>
        <v/>
      </c>
      <c r="O143" s="6"/>
      <c r="S143">
        <v>139</v>
      </c>
      <c r="V143" t="str">
        <f>IF(U143&gt;0,SUM($U$5:U143),"")</f>
        <v/>
      </c>
    </row>
    <row r="144" spans="1:22" x14ac:dyDescent="0.4">
      <c r="A144">
        <v>140</v>
      </c>
      <c r="N144" t="str">
        <f t="shared" si="6"/>
        <v/>
      </c>
      <c r="O144" s="6"/>
      <c r="S144">
        <v>140</v>
      </c>
      <c r="V144" t="str">
        <f>IF(U144&gt;0,SUM($U$5:U144),"")</f>
        <v/>
      </c>
    </row>
    <row r="145" spans="1:22" x14ac:dyDescent="0.4">
      <c r="A145">
        <v>141</v>
      </c>
      <c r="N145" t="str">
        <f t="shared" si="6"/>
        <v/>
      </c>
      <c r="O145" s="6"/>
      <c r="S145">
        <v>141</v>
      </c>
      <c r="V145" t="str">
        <f>IF(U145&gt;0,SUM($U$5:U145),"")</f>
        <v/>
      </c>
    </row>
    <row r="146" spans="1:22" x14ac:dyDescent="0.4">
      <c r="A146">
        <v>142</v>
      </c>
      <c r="N146" t="str">
        <f t="shared" si="6"/>
        <v/>
      </c>
      <c r="O146" s="6"/>
      <c r="S146">
        <v>142</v>
      </c>
      <c r="V146" t="str">
        <f>IF(U146&gt;0,SUM($U$5:U146),"")</f>
        <v/>
      </c>
    </row>
    <row r="147" spans="1:22" x14ac:dyDescent="0.4">
      <c r="A147">
        <v>143</v>
      </c>
      <c r="N147" t="str">
        <f t="shared" si="6"/>
        <v/>
      </c>
      <c r="O147" s="6"/>
      <c r="S147">
        <v>143</v>
      </c>
      <c r="V147" t="str">
        <f>IF(U147&gt;0,SUM($U$5:U147),"")</f>
        <v/>
      </c>
    </row>
    <row r="148" spans="1:22" x14ac:dyDescent="0.4">
      <c r="A148">
        <v>144</v>
      </c>
      <c r="N148" t="str">
        <f t="shared" si="6"/>
        <v/>
      </c>
      <c r="O148" s="6"/>
      <c r="S148">
        <v>144</v>
      </c>
      <c r="V148" t="str">
        <f>IF(U148&gt;0,SUM($U$5:U148),"")</f>
        <v/>
      </c>
    </row>
    <row r="149" spans="1:22" x14ac:dyDescent="0.4">
      <c r="A149">
        <v>145</v>
      </c>
      <c r="N149" t="str">
        <f t="shared" si="6"/>
        <v/>
      </c>
      <c r="O149" s="6"/>
      <c r="S149">
        <v>145</v>
      </c>
      <c r="V149" t="str">
        <f>IF(U149&gt;0,SUM($U$5:U149),"")</f>
        <v/>
      </c>
    </row>
    <row r="150" spans="1:22" x14ac:dyDescent="0.4">
      <c r="A150">
        <v>146</v>
      </c>
      <c r="N150" t="str">
        <f t="shared" si="6"/>
        <v/>
      </c>
      <c r="O150" s="6"/>
      <c r="S150">
        <v>146</v>
      </c>
      <c r="V150" t="str">
        <f>IF(U150&gt;0,SUM($U$5:U150),"")</f>
        <v/>
      </c>
    </row>
    <row r="151" spans="1:22" x14ac:dyDescent="0.4">
      <c r="A151">
        <v>147</v>
      </c>
      <c r="N151" t="str">
        <f t="shared" si="6"/>
        <v/>
      </c>
      <c r="O151" s="6"/>
      <c r="S151">
        <v>147</v>
      </c>
      <c r="V151" t="str">
        <f>IF(U151&gt;0,SUM($U$5:U151),"")</f>
        <v/>
      </c>
    </row>
    <row r="152" spans="1:22" x14ac:dyDescent="0.4">
      <c r="A152">
        <v>148</v>
      </c>
      <c r="N152" t="str">
        <f t="shared" si="6"/>
        <v/>
      </c>
      <c r="O152" s="6"/>
      <c r="S152">
        <v>148</v>
      </c>
      <c r="V152" t="str">
        <f>IF(U152&gt;0,SUM($U$5:U152),"")</f>
        <v/>
      </c>
    </row>
    <row r="153" spans="1:22" x14ac:dyDescent="0.4">
      <c r="A153">
        <v>149</v>
      </c>
      <c r="N153" t="str">
        <f t="shared" si="6"/>
        <v/>
      </c>
      <c r="O153" s="6"/>
      <c r="S153">
        <v>149</v>
      </c>
      <c r="V153" t="str">
        <f>IF(U153&gt;0,SUM($U$5:U153),"")</f>
        <v/>
      </c>
    </row>
    <row r="154" spans="1:22" x14ac:dyDescent="0.4">
      <c r="A154">
        <v>150</v>
      </c>
      <c r="N154" t="str">
        <f t="shared" si="6"/>
        <v/>
      </c>
      <c r="O154" s="6"/>
      <c r="S154">
        <v>150</v>
      </c>
      <c r="V154" t="str">
        <f>IF(U154&gt;0,SUM($U$5:U154),"")</f>
        <v/>
      </c>
    </row>
    <row r="155" spans="1:22" x14ac:dyDescent="0.4">
      <c r="A155">
        <v>151</v>
      </c>
      <c r="N155" t="str">
        <f t="shared" si="6"/>
        <v/>
      </c>
      <c r="O155" s="6"/>
      <c r="S155">
        <v>151</v>
      </c>
      <c r="V155" t="str">
        <f>IF(U155&gt;0,SUM($U$5:U155),"")</f>
        <v/>
      </c>
    </row>
    <row r="156" spans="1:22" x14ac:dyDescent="0.4">
      <c r="A156">
        <v>152</v>
      </c>
      <c r="N156" t="str">
        <f t="shared" si="6"/>
        <v/>
      </c>
      <c r="O156" s="6"/>
      <c r="S156">
        <v>152</v>
      </c>
      <c r="V156" t="str">
        <f>IF(U156&gt;0,SUM($U$5:U156),"")</f>
        <v/>
      </c>
    </row>
    <row r="157" spans="1:22" x14ac:dyDescent="0.4">
      <c r="A157">
        <v>153</v>
      </c>
      <c r="N157" t="str">
        <f t="shared" si="6"/>
        <v/>
      </c>
      <c r="O157" s="6"/>
      <c r="S157">
        <v>153</v>
      </c>
      <c r="V157" t="str">
        <f>IF(U157&gt;0,SUM($U$5:U157),"")</f>
        <v/>
      </c>
    </row>
    <row r="158" spans="1:22" x14ac:dyDescent="0.4">
      <c r="A158">
        <v>154</v>
      </c>
      <c r="N158" t="str">
        <f t="shared" si="6"/>
        <v/>
      </c>
      <c r="O158" s="6"/>
      <c r="S158">
        <v>154</v>
      </c>
      <c r="V158" t="str">
        <f>IF(U158&gt;0,SUM($U$5:U158),"")</f>
        <v/>
      </c>
    </row>
    <row r="159" spans="1:22" x14ac:dyDescent="0.4">
      <c r="A159">
        <v>155</v>
      </c>
      <c r="N159" t="str">
        <f t="shared" si="6"/>
        <v/>
      </c>
      <c r="O159" s="6"/>
      <c r="S159">
        <v>155</v>
      </c>
      <c r="V159" t="str">
        <f>IF(U159&gt;0,SUM($U$5:U159),"")</f>
        <v/>
      </c>
    </row>
    <row r="160" spans="1:22" x14ac:dyDescent="0.4">
      <c r="A160">
        <v>156</v>
      </c>
      <c r="N160" t="str">
        <f t="shared" si="6"/>
        <v/>
      </c>
      <c r="O160" s="6"/>
      <c r="S160">
        <v>156</v>
      </c>
      <c r="V160" t="str">
        <f>IF(U160&gt;0,SUM($U$5:U160),"")</f>
        <v/>
      </c>
    </row>
    <row r="161" spans="1:22" x14ac:dyDescent="0.4">
      <c r="A161">
        <v>157</v>
      </c>
      <c r="N161" t="str">
        <f t="shared" si="6"/>
        <v/>
      </c>
      <c r="O161" s="6"/>
      <c r="S161">
        <v>157</v>
      </c>
      <c r="V161" t="str">
        <f>IF(U161&gt;0,SUM($U$5:U161),"")</f>
        <v/>
      </c>
    </row>
    <row r="162" spans="1:22" x14ac:dyDescent="0.4">
      <c r="A162">
        <v>158</v>
      </c>
      <c r="N162" t="str">
        <f t="shared" si="6"/>
        <v/>
      </c>
      <c r="O162" s="6"/>
      <c r="S162">
        <v>158</v>
      </c>
      <c r="V162" t="str">
        <f>IF(U162&gt;0,SUM($U$5:U162),"")</f>
        <v/>
      </c>
    </row>
    <row r="163" spans="1:22" x14ac:dyDescent="0.4">
      <c r="A163">
        <v>159</v>
      </c>
      <c r="N163" t="str">
        <f t="shared" si="6"/>
        <v/>
      </c>
      <c r="O163" s="6"/>
      <c r="S163">
        <v>159</v>
      </c>
      <c r="V163" t="str">
        <f>IF(U163&gt;0,SUM($U$5:U163),"")</f>
        <v/>
      </c>
    </row>
    <row r="164" spans="1:22" x14ac:dyDescent="0.4">
      <c r="A164">
        <v>160</v>
      </c>
      <c r="N164" t="str">
        <f t="shared" si="6"/>
        <v/>
      </c>
      <c r="O164" s="6"/>
      <c r="S164">
        <v>160</v>
      </c>
      <c r="V164" t="str">
        <f>IF(U164&gt;0,SUM($U$5:U164),"")</f>
        <v/>
      </c>
    </row>
    <row r="165" spans="1:22" x14ac:dyDescent="0.4">
      <c r="A165">
        <v>161</v>
      </c>
      <c r="N165" t="str">
        <f t="shared" si="6"/>
        <v/>
      </c>
      <c r="O165" s="6"/>
      <c r="S165">
        <v>161</v>
      </c>
      <c r="V165" t="str">
        <f>IF(U165&gt;0,SUM($U$5:U165),"")</f>
        <v/>
      </c>
    </row>
    <row r="166" spans="1:22" x14ac:dyDescent="0.4">
      <c r="A166">
        <v>162</v>
      </c>
      <c r="N166" t="str">
        <f t="shared" si="6"/>
        <v/>
      </c>
      <c r="O166" s="6"/>
      <c r="S166">
        <v>162</v>
      </c>
      <c r="V166" t="str">
        <f>IF(U166&gt;0,SUM($U$5:U166),"")</f>
        <v/>
      </c>
    </row>
    <row r="167" spans="1:22" x14ac:dyDescent="0.4">
      <c r="A167">
        <v>163</v>
      </c>
      <c r="N167" t="str">
        <f t="shared" si="6"/>
        <v/>
      </c>
      <c r="O167" s="6"/>
      <c r="S167">
        <v>163</v>
      </c>
      <c r="V167" t="str">
        <f>IF(U167&gt;0,SUM($U$5:U167),"")</f>
        <v/>
      </c>
    </row>
    <row r="168" spans="1:22" x14ac:dyDescent="0.4">
      <c r="A168">
        <v>164</v>
      </c>
      <c r="N168" t="str">
        <f t="shared" si="6"/>
        <v/>
      </c>
      <c r="O168" s="6"/>
      <c r="S168">
        <v>164</v>
      </c>
      <c r="V168" t="str">
        <f>IF(U168&gt;0,SUM($U$5:U168),"")</f>
        <v/>
      </c>
    </row>
    <row r="169" spans="1:22" x14ac:dyDescent="0.4">
      <c r="A169">
        <v>165</v>
      </c>
      <c r="N169" t="str">
        <f t="shared" si="6"/>
        <v/>
      </c>
      <c r="O169" s="6"/>
      <c r="S169">
        <v>165</v>
      </c>
      <c r="V169" t="str">
        <f>IF(U169&gt;0,SUM($U$5:U169),"")</f>
        <v/>
      </c>
    </row>
    <row r="170" spans="1:22" x14ac:dyDescent="0.4">
      <c r="A170">
        <v>166</v>
      </c>
      <c r="N170" t="str">
        <f t="shared" si="6"/>
        <v/>
      </c>
      <c r="O170" s="6"/>
      <c r="S170">
        <v>166</v>
      </c>
      <c r="V170" t="str">
        <f>IF(U170&gt;0,SUM($U$5:U170),"")</f>
        <v/>
      </c>
    </row>
    <row r="171" spans="1:22" x14ac:dyDescent="0.4">
      <c r="A171">
        <v>167</v>
      </c>
      <c r="N171" t="str">
        <f t="shared" si="6"/>
        <v/>
      </c>
      <c r="O171" s="6"/>
      <c r="S171">
        <v>167</v>
      </c>
      <c r="V171" t="str">
        <f>IF(U171&gt;0,SUM($U$5:U171),"")</f>
        <v/>
      </c>
    </row>
    <row r="172" spans="1:22" x14ac:dyDescent="0.4">
      <c r="A172">
        <v>168</v>
      </c>
      <c r="N172" t="str">
        <f t="shared" si="6"/>
        <v/>
      </c>
      <c r="O172" s="6"/>
      <c r="S172">
        <v>168</v>
      </c>
      <c r="V172" t="str">
        <f>IF(U172&gt;0,SUM($U$5:U172),"")</f>
        <v/>
      </c>
    </row>
    <row r="173" spans="1:22" x14ac:dyDescent="0.4">
      <c r="A173">
        <v>169</v>
      </c>
      <c r="N173" t="str">
        <f t="shared" si="6"/>
        <v/>
      </c>
      <c r="O173" s="6"/>
      <c r="S173">
        <v>169</v>
      </c>
      <c r="V173" t="str">
        <f>IF(U173&gt;0,SUM($U$5:U173),"")</f>
        <v/>
      </c>
    </row>
    <row r="174" spans="1:22" x14ac:dyDescent="0.4">
      <c r="A174">
        <v>170</v>
      </c>
      <c r="N174" t="str">
        <f t="shared" si="6"/>
        <v/>
      </c>
      <c r="O174" s="6"/>
      <c r="S174">
        <v>170</v>
      </c>
      <c r="V174" t="str">
        <f>IF(U174&gt;0,SUM($U$5:U174),"")</f>
        <v/>
      </c>
    </row>
    <row r="175" spans="1:22" x14ac:dyDescent="0.4">
      <c r="A175">
        <v>171</v>
      </c>
      <c r="N175" t="str">
        <f t="shared" si="6"/>
        <v/>
      </c>
      <c r="O175" s="6"/>
      <c r="S175">
        <v>171</v>
      </c>
      <c r="V175" t="str">
        <f>IF(U175&gt;0,SUM($U$5:U175),"")</f>
        <v/>
      </c>
    </row>
    <row r="176" spans="1:22" x14ac:dyDescent="0.4">
      <c r="A176">
        <v>172</v>
      </c>
      <c r="N176" t="str">
        <f t="shared" si="6"/>
        <v/>
      </c>
      <c r="O176" s="6"/>
      <c r="S176">
        <v>172</v>
      </c>
      <c r="V176" t="str">
        <f>IF(U176&gt;0,SUM($U$5:U176),"")</f>
        <v/>
      </c>
    </row>
    <row r="177" spans="1:22" x14ac:dyDescent="0.4">
      <c r="A177">
        <v>173</v>
      </c>
      <c r="N177" t="str">
        <f t="shared" si="6"/>
        <v/>
      </c>
      <c r="O177" s="6"/>
      <c r="S177">
        <v>173</v>
      </c>
      <c r="V177" t="str">
        <f>IF(U177&gt;0,SUM($U$5:U177),"")</f>
        <v/>
      </c>
    </row>
    <row r="178" spans="1:22" x14ac:dyDescent="0.4">
      <c r="A178">
        <v>174</v>
      </c>
      <c r="N178" t="str">
        <f t="shared" si="6"/>
        <v/>
      </c>
      <c r="O178" s="6"/>
      <c r="S178">
        <v>174</v>
      </c>
      <c r="V178" t="str">
        <f>IF(U178&gt;0,SUM($U$5:U178),"")</f>
        <v/>
      </c>
    </row>
    <row r="179" spans="1:22" x14ac:dyDescent="0.4">
      <c r="A179">
        <v>175</v>
      </c>
      <c r="N179" t="str">
        <f t="shared" si="6"/>
        <v/>
      </c>
      <c r="O179" s="6"/>
      <c r="S179">
        <v>175</v>
      </c>
      <c r="V179" t="str">
        <f>IF(U179&gt;0,SUM($U$5:U179),"")</f>
        <v/>
      </c>
    </row>
    <row r="180" spans="1:22" x14ac:dyDescent="0.4">
      <c r="A180">
        <v>176</v>
      </c>
      <c r="N180" t="str">
        <f t="shared" si="6"/>
        <v/>
      </c>
      <c r="O180" s="6"/>
      <c r="S180">
        <v>176</v>
      </c>
      <c r="V180" t="str">
        <f>IF(U180&gt;0,SUM($U$5:U180),"")</f>
        <v/>
      </c>
    </row>
    <row r="181" spans="1:22" x14ac:dyDescent="0.4">
      <c r="A181">
        <v>177</v>
      </c>
      <c r="N181" t="str">
        <f t="shared" si="6"/>
        <v/>
      </c>
      <c r="O181" s="6"/>
      <c r="S181">
        <v>177</v>
      </c>
      <c r="V181" t="str">
        <f>IF(U181&gt;0,SUM($U$5:U181),"")</f>
        <v/>
      </c>
    </row>
    <row r="182" spans="1:22" x14ac:dyDescent="0.4">
      <c r="A182">
        <v>178</v>
      </c>
      <c r="N182" t="str">
        <f t="shared" si="6"/>
        <v/>
      </c>
      <c r="O182" s="6"/>
      <c r="S182">
        <v>178</v>
      </c>
      <c r="V182" t="str">
        <f>IF(U182&gt;0,SUM($U$5:U182),"")</f>
        <v/>
      </c>
    </row>
    <row r="183" spans="1:22" x14ac:dyDescent="0.4">
      <c r="A183">
        <v>179</v>
      </c>
      <c r="N183" t="str">
        <f t="shared" si="6"/>
        <v/>
      </c>
      <c r="O183" s="6"/>
      <c r="S183">
        <v>179</v>
      </c>
      <c r="V183" t="str">
        <f>IF(U183&gt;0,SUM($U$5:U183),"")</f>
        <v/>
      </c>
    </row>
    <row r="184" spans="1:22" x14ac:dyDescent="0.4">
      <c r="A184">
        <v>180</v>
      </c>
      <c r="N184" t="str">
        <f t="shared" si="6"/>
        <v/>
      </c>
      <c r="O184" s="6"/>
      <c r="S184">
        <v>180</v>
      </c>
      <c r="V184" t="str">
        <f>IF(U184&gt;0,SUM($U$5:U184),"")</f>
        <v/>
      </c>
    </row>
    <row r="185" spans="1:22" x14ac:dyDescent="0.4">
      <c r="A185">
        <v>181</v>
      </c>
      <c r="N185" t="str">
        <f t="shared" si="6"/>
        <v/>
      </c>
      <c r="O185" s="6"/>
      <c r="S185">
        <v>181</v>
      </c>
      <c r="V185" t="str">
        <f>IF(U185&gt;0,SUM($U$5:U185),"")</f>
        <v/>
      </c>
    </row>
    <row r="186" spans="1:22" x14ac:dyDescent="0.4">
      <c r="A186">
        <v>182</v>
      </c>
      <c r="N186" t="str">
        <f t="shared" si="6"/>
        <v/>
      </c>
      <c r="O186" s="6"/>
      <c r="S186">
        <v>182</v>
      </c>
      <c r="V186" t="str">
        <f>IF(U186&gt;0,SUM($U$5:U186),"")</f>
        <v/>
      </c>
    </row>
    <row r="187" spans="1:22" x14ac:dyDescent="0.4">
      <c r="A187">
        <v>183</v>
      </c>
      <c r="N187" t="str">
        <f t="shared" si="6"/>
        <v/>
      </c>
      <c r="O187" s="6"/>
      <c r="S187">
        <v>183</v>
      </c>
      <c r="V187" t="str">
        <f>IF(U187&gt;0,SUM($U$5:U187),"")</f>
        <v/>
      </c>
    </row>
    <row r="188" spans="1:22" x14ac:dyDescent="0.4">
      <c r="A188">
        <v>184</v>
      </c>
      <c r="N188" t="str">
        <f t="shared" si="6"/>
        <v/>
      </c>
      <c r="O188" s="6"/>
      <c r="S188">
        <v>184</v>
      </c>
      <c r="V188" t="str">
        <f>IF(U188&gt;0,SUM($U$5:U188),"")</f>
        <v/>
      </c>
    </row>
    <row r="189" spans="1:22" x14ac:dyDescent="0.4">
      <c r="A189">
        <v>185</v>
      </c>
      <c r="N189" t="str">
        <f t="shared" si="6"/>
        <v/>
      </c>
      <c r="O189" s="6"/>
      <c r="S189">
        <v>185</v>
      </c>
      <c r="V189" t="str">
        <f>IF(U189&gt;0,SUM($U$5:U189),"")</f>
        <v/>
      </c>
    </row>
    <row r="190" spans="1:22" x14ac:dyDescent="0.4">
      <c r="A190">
        <v>186</v>
      </c>
      <c r="N190" t="str">
        <f t="shared" si="6"/>
        <v/>
      </c>
      <c r="O190" s="6"/>
      <c r="S190">
        <v>186</v>
      </c>
      <c r="V190" t="str">
        <f>IF(U190&gt;0,SUM($U$5:U190),"")</f>
        <v/>
      </c>
    </row>
    <row r="191" spans="1:22" x14ac:dyDescent="0.4">
      <c r="A191">
        <v>187</v>
      </c>
      <c r="N191" t="str">
        <f t="shared" si="6"/>
        <v/>
      </c>
      <c r="O191" s="6"/>
      <c r="S191">
        <v>187</v>
      </c>
      <c r="V191" t="str">
        <f>IF(U191&gt;0,SUM($U$5:U191),"")</f>
        <v/>
      </c>
    </row>
    <row r="192" spans="1:22" x14ac:dyDescent="0.4">
      <c r="A192">
        <v>188</v>
      </c>
      <c r="N192" t="str">
        <f t="shared" si="6"/>
        <v/>
      </c>
      <c r="O192" s="6"/>
      <c r="S192">
        <v>188</v>
      </c>
      <c r="V192" t="str">
        <f>IF(U192&gt;0,SUM($U$5:U192),"")</f>
        <v/>
      </c>
    </row>
    <row r="193" spans="1:22" x14ac:dyDescent="0.4">
      <c r="A193">
        <v>189</v>
      </c>
      <c r="N193" t="str">
        <f t="shared" si="6"/>
        <v/>
      </c>
      <c r="O193" s="6"/>
      <c r="S193">
        <v>189</v>
      </c>
      <c r="V193" t="str">
        <f>IF(U193&gt;0,SUM($U$5:U193),"")</f>
        <v/>
      </c>
    </row>
    <row r="194" spans="1:22" x14ac:dyDescent="0.4">
      <c r="A194">
        <v>190</v>
      </c>
      <c r="N194" t="str">
        <f t="shared" si="6"/>
        <v/>
      </c>
      <c r="O194" s="6"/>
      <c r="S194">
        <v>190</v>
      </c>
      <c r="V194" t="str">
        <f>IF(U194&gt;0,SUM($U$5:U194),"")</f>
        <v/>
      </c>
    </row>
    <row r="195" spans="1:22" x14ac:dyDescent="0.4">
      <c r="A195">
        <v>191</v>
      </c>
      <c r="N195" t="str">
        <f t="shared" si="6"/>
        <v/>
      </c>
      <c r="O195" s="6"/>
      <c r="S195">
        <v>191</v>
      </c>
      <c r="V195" t="str">
        <f>IF(U195&gt;0,SUM($U$5:U195),"")</f>
        <v/>
      </c>
    </row>
    <row r="196" spans="1:22" x14ac:dyDescent="0.4">
      <c r="A196">
        <v>192</v>
      </c>
      <c r="N196" t="str">
        <f t="shared" si="6"/>
        <v/>
      </c>
      <c r="O196" s="6"/>
      <c r="S196">
        <v>192</v>
      </c>
      <c r="V196" t="str">
        <f>IF(U196&gt;0,SUM($U$5:U196),"")</f>
        <v/>
      </c>
    </row>
    <row r="197" spans="1:22" x14ac:dyDescent="0.4">
      <c r="A197">
        <v>193</v>
      </c>
      <c r="N197" t="str">
        <f t="shared" si="6"/>
        <v/>
      </c>
      <c r="O197" s="6"/>
      <c r="S197">
        <v>193</v>
      </c>
      <c r="V197" t="str">
        <f>IF(U197&gt;0,SUM($U$5:U197),"")</f>
        <v/>
      </c>
    </row>
    <row r="198" spans="1:22" x14ac:dyDescent="0.4">
      <c r="A198">
        <v>194</v>
      </c>
      <c r="N198" t="str">
        <f t="shared" ref="N198:N254" si="7">IFERROR(IF(L198+M198=0,"",L198+M198),"")</f>
        <v/>
      </c>
      <c r="O198" s="6"/>
      <c r="S198">
        <v>194</v>
      </c>
      <c r="V198" t="str">
        <f>IF(U198&gt;0,SUM($U$5:U198),"")</f>
        <v/>
      </c>
    </row>
    <row r="199" spans="1:22" x14ac:dyDescent="0.4">
      <c r="A199">
        <v>195</v>
      </c>
      <c r="N199" t="str">
        <f t="shared" si="7"/>
        <v/>
      </c>
      <c r="O199" s="6"/>
      <c r="S199">
        <v>195</v>
      </c>
      <c r="V199" t="str">
        <f>IF(U199&gt;0,SUM($U$5:U199),"")</f>
        <v/>
      </c>
    </row>
    <row r="200" spans="1:22" x14ac:dyDescent="0.4">
      <c r="A200">
        <v>196</v>
      </c>
      <c r="N200" t="str">
        <f t="shared" si="7"/>
        <v/>
      </c>
      <c r="O200" s="6"/>
      <c r="S200">
        <v>196</v>
      </c>
      <c r="V200" t="str">
        <f>IF(U200&gt;0,SUM($U$5:U200),"")</f>
        <v/>
      </c>
    </row>
    <row r="201" spans="1:22" x14ac:dyDescent="0.4">
      <c r="A201">
        <v>197</v>
      </c>
      <c r="N201" t="str">
        <f t="shared" si="7"/>
        <v/>
      </c>
      <c r="O201" s="6"/>
      <c r="S201">
        <v>197</v>
      </c>
      <c r="V201" t="str">
        <f>IF(U201&gt;0,SUM($U$5:U201),"")</f>
        <v/>
      </c>
    </row>
    <row r="202" spans="1:22" x14ac:dyDescent="0.4">
      <c r="A202">
        <v>198</v>
      </c>
      <c r="N202" t="str">
        <f t="shared" si="7"/>
        <v/>
      </c>
      <c r="O202" s="6"/>
      <c r="S202">
        <v>198</v>
      </c>
      <c r="V202" t="str">
        <f>IF(U202&gt;0,SUM($U$5:U202),"")</f>
        <v/>
      </c>
    </row>
    <row r="203" spans="1:22" x14ac:dyDescent="0.4">
      <c r="A203">
        <v>199</v>
      </c>
      <c r="N203" t="str">
        <f t="shared" si="7"/>
        <v/>
      </c>
      <c r="O203" s="6"/>
      <c r="S203">
        <v>199</v>
      </c>
      <c r="V203" t="str">
        <f>IF(U203&gt;0,SUM($U$5:U203),"")</f>
        <v/>
      </c>
    </row>
    <row r="204" spans="1:22" x14ac:dyDescent="0.4">
      <c r="A204">
        <v>200</v>
      </c>
      <c r="N204" t="str">
        <f t="shared" si="7"/>
        <v/>
      </c>
      <c r="O204" s="6"/>
      <c r="S204">
        <v>200</v>
      </c>
      <c r="V204" t="str">
        <f>IF(U204&gt;0,SUM($U$5:U204),"")</f>
        <v/>
      </c>
    </row>
    <row r="205" spans="1:22" x14ac:dyDescent="0.4">
      <c r="A205">
        <v>201</v>
      </c>
      <c r="N205" t="str">
        <f t="shared" si="7"/>
        <v/>
      </c>
      <c r="O205" s="6"/>
      <c r="S205">
        <v>201</v>
      </c>
      <c r="V205" t="str">
        <f>IF(U205&gt;0,SUM($U$5:U205),"")</f>
        <v/>
      </c>
    </row>
    <row r="206" spans="1:22" x14ac:dyDescent="0.4">
      <c r="A206">
        <v>202</v>
      </c>
      <c r="N206" t="str">
        <f t="shared" si="7"/>
        <v/>
      </c>
      <c r="O206" s="6"/>
      <c r="S206">
        <v>202</v>
      </c>
      <c r="V206" t="str">
        <f>IF(U206&gt;0,SUM($U$5:U206),"")</f>
        <v/>
      </c>
    </row>
    <row r="207" spans="1:22" x14ac:dyDescent="0.4">
      <c r="A207">
        <v>203</v>
      </c>
      <c r="N207" t="str">
        <f t="shared" si="7"/>
        <v/>
      </c>
      <c r="O207" s="6"/>
      <c r="S207">
        <v>203</v>
      </c>
      <c r="V207" t="str">
        <f>IF(U207&gt;0,SUM($U$5:U207),"")</f>
        <v/>
      </c>
    </row>
    <row r="208" spans="1:22" x14ac:dyDescent="0.4">
      <c r="A208">
        <v>204</v>
      </c>
      <c r="N208" t="str">
        <f t="shared" si="7"/>
        <v/>
      </c>
      <c r="O208" s="6"/>
      <c r="S208">
        <v>204</v>
      </c>
      <c r="V208" t="str">
        <f>IF(U208&gt;0,SUM($U$5:U208),"")</f>
        <v/>
      </c>
    </row>
    <row r="209" spans="1:22" x14ac:dyDescent="0.4">
      <c r="A209">
        <v>205</v>
      </c>
      <c r="N209" t="str">
        <f t="shared" si="7"/>
        <v/>
      </c>
      <c r="O209" s="6"/>
      <c r="S209">
        <v>205</v>
      </c>
      <c r="V209" t="str">
        <f>IF(U209&gt;0,SUM($U$5:U209),"")</f>
        <v/>
      </c>
    </row>
    <row r="210" spans="1:22" x14ac:dyDescent="0.4">
      <c r="A210">
        <v>206</v>
      </c>
      <c r="N210" t="str">
        <f t="shared" si="7"/>
        <v/>
      </c>
      <c r="O210" s="6"/>
      <c r="S210">
        <v>206</v>
      </c>
      <c r="V210" t="str">
        <f>IF(U210&gt;0,SUM($U$5:U210),"")</f>
        <v/>
      </c>
    </row>
    <row r="211" spans="1:22" x14ac:dyDescent="0.4">
      <c r="A211">
        <v>207</v>
      </c>
      <c r="N211" t="str">
        <f t="shared" si="7"/>
        <v/>
      </c>
      <c r="O211" s="6"/>
      <c r="S211">
        <v>207</v>
      </c>
      <c r="V211" t="str">
        <f>IF(U211&gt;0,SUM($U$5:U211),"")</f>
        <v/>
      </c>
    </row>
    <row r="212" spans="1:22" x14ac:dyDescent="0.4">
      <c r="A212">
        <v>208</v>
      </c>
      <c r="N212" t="str">
        <f t="shared" si="7"/>
        <v/>
      </c>
      <c r="O212" s="6"/>
      <c r="S212">
        <v>208</v>
      </c>
      <c r="V212" t="str">
        <f>IF(U212&gt;0,SUM($U$5:U212),"")</f>
        <v/>
      </c>
    </row>
    <row r="213" spans="1:22" x14ac:dyDescent="0.4">
      <c r="A213">
        <v>209</v>
      </c>
      <c r="N213" t="str">
        <f t="shared" si="7"/>
        <v/>
      </c>
      <c r="O213" s="6"/>
      <c r="S213">
        <v>209</v>
      </c>
      <c r="V213" t="str">
        <f>IF(U213&gt;0,SUM($U$5:U213),"")</f>
        <v/>
      </c>
    </row>
    <row r="214" spans="1:22" x14ac:dyDescent="0.4">
      <c r="A214">
        <v>210</v>
      </c>
      <c r="N214" t="str">
        <f t="shared" si="7"/>
        <v/>
      </c>
      <c r="O214" s="6"/>
      <c r="S214">
        <v>210</v>
      </c>
      <c r="V214" t="str">
        <f>IF(U214&gt;0,SUM($U$5:U214),"")</f>
        <v/>
      </c>
    </row>
    <row r="215" spans="1:22" x14ac:dyDescent="0.4">
      <c r="A215">
        <v>211</v>
      </c>
      <c r="N215" t="str">
        <f t="shared" si="7"/>
        <v/>
      </c>
      <c r="O215" s="6"/>
      <c r="S215">
        <v>211</v>
      </c>
      <c r="V215" t="str">
        <f>IF(U215&gt;0,SUM($U$5:U215),"")</f>
        <v/>
      </c>
    </row>
    <row r="216" spans="1:22" x14ac:dyDescent="0.4">
      <c r="A216">
        <v>212</v>
      </c>
      <c r="N216" t="str">
        <f t="shared" si="7"/>
        <v/>
      </c>
      <c r="O216" s="6"/>
      <c r="S216">
        <v>212</v>
      </c>
      <c r="V216" t="str">
        <f>IF(U216&gt;0,SUM($U$5:U216),"")</f>
        <v/>
      </c>
    </row>
    <row r="217" spans="1:22" x14ac:dyDescent="0.4">
      <c r="A217">
        <v>213</v>
      </c>
      <c r="N217" t="str">
        <f t="shared" si="7"/>
        <v/>
      </c>
      <c r="O217" s="6"/>
      <c r="S217">
        <v>213</v>
      </c>
      <c r="V217" t="str">
        <f>IF(U217&gt;0,SUM($U$5:U217),"")</f>
        <v/>
      </c>
    </row>
    <row r="218" spans="1:22" x14ac:dyDescent="0.4">
      <c r="A218">
        <v>214</v>
      </c>
      <c r="N218" t="str">
        <f t="shared" si="7"/>
        <v/>
      </c>
      <c r="O218" s="6"/>
      <c r="S218">
        <v>214</v>
      </c>
      <c r="V218" t="str">
        <f>IF(U218&gt;0,SUM($U$5:U218),"")</f>
        <v/>
      </c>
    </row>
    <row r="219" spans="1:22" x14ac:dyDescent="0.4">
      <c r="A219">
        <v>215</v>
      </c>
      <c r="N219" t="str">
        <f t="shared" si="7"/>
        <v/>
      </c>
      <c r="O219" s="6"/>
      <c r="S219">
        <v>215</v>
      </c>
      <c r="V219" t="str">
        <f>IF(U219&gt;0,SUM($U$5:U219),"")</f>
        <v/>
      </c>
    </row>
    <row r="220" spans="1:22" x14ac:dyDescent="0.4">
      <c r="A220">
        <v>216</v>
      </c>
      <c r="N220" t="str">
        <f t="shared" si="7"/>
        <v/>
      </c>
      <c r="O220" s="6"/>
      <c r="S220">
        <v>216</v>
      </c>
      <c r="V220" t="str">
        <f>IF(U220&gt;0,SUM($U$5:U220),"")</f>
        <v/>
      </c>
    </row>
    <row r="221" spans="1:22" x14ac:dyDescent="0.4">
      <c r="A221">
        <v>217</v>
      </c>
      <c r="N221" t="str">
        <f t="shared" si="7"/>
        <v/>
      </c>
      <c r="O221" s="6"/>
      <c r="S221">
        <v>217</v>
      </c>
      <c r="V221" t="str">
        <f>IF(U221&gt;0,SUM($U$5:U221),"")</f>
        <v/>
      </c>
    </row>
    <row r="222" spans="1:22" x14ac:dyDescent="0.4">
      <c r="A222">
        <v>218</v>
      </c>
      <c r="N222" t="str">
        <f t="shared" si="7"/>
        <v/>
      </c>
      <c r="O222" s="6"/>
      <c r="S222">
        <v>218</v>
      </c>
      <c r="V222" t="str">
        <f>IF(U222&gt;0,SUM($U$5:U222),"")</f>
        <v/>
      </c>
    </row>
    <row r="223" spans="1:22" x14ac:dyDescent="0.4">
      <c r="A223">
        <v>219</v>
      </c>
      <c r="N223" t="str">
        <f t="shared" si="7"/>
        <v/>
      </c>
      <c r="O223" s="6"/>
      <c r="S223">
        <v>219</v>
      </c>
      <c r="V223" t="str">
        <f>IF(U223&gt;0,SUM($U$5:U223),"")</f>
        <v/>
      </c>
    </row>
    <row r="224" spans="1:22" x14ac:dyDescent="0.4">
      <c r="A224">
        <v>220</v>
      </c>
      <c r="N224" t="str">
        <f t="shared" si="7"/>
        <v/>
      </c>
      <c r="O224" s="6"/>
      <c r="S224">
        <v>220</v>
      </c>
      <c r="V224" t="str">
        <f>IF(U224&gt;0,SUM($U$5:U224),"")</f>
        <v/>
      </c>
    </row>
    <row r="225" spans="1:22" x14ac:dyDescent="0.4">
      <c r="A225">
        <v>221</v>
      </c>
      <c r="N225" t="str">
        <f t="shared" si="7"/>
        <v/>
      </c>
      <c r="O225" s="6"/>
      <c r="S225">
        <v>221</v>
      </c>
      <c r="V225" t="str">
        <f>IF(U225&gt;0,SUM($U$5:U225),"")</f>
        <v/>
      </c>
    </row>
    <row r="226" spans="1:22" x14ac:dyDescent="0.4">
      <c r="A226">
        <v>222</v>
      </c>
      <c r="N226" t="str">
        <f t="shared" si="7"/>
        <v/>
      </c>
      <c r="O226" s="6"/>
      <c r="S226">
        <v>222</v>
      </c>
      <c r="V226" t="str">
        <f>IF(U226&gt;0,SUM($U$5:U226),"")</f>
        <v/>
      </c>
    </row>
    <row r="227" spans="1:22" x14ac:dyDescent="0.4">
      <c r="A227">
        <v>223</v>
      </c>
      <c r="N227" t="str">
        <f t="shared" si="7"/>
        <v/>
      </c>
      <c r="O227" s="6"/>
      <c r="S227">
        <v>223</v>
      </c>
      <c r="V227" t="str">
        <f>IF(U227&gt;0,SUM($U$5:U227),"")</f>
        <v/>
      </c>
    </row>
    <row r="228" spans="1:22" x14ac:dyDescent="0.4">
      <c r="A228">
        <v>224</v>
      </c>
      <c r="N228" t="str">
        <f t="shared" si="7"/>
        <v/>
      </c>
      <c r="O228" s="6"/>
      <c r="S228">
        <v>224</v>
      </c>
      <c r="V228" t="str">
        <f>IF(U228&gt;0,SUM($U$5:U228),"")</f>
        <v/>
      </c>
    </row>
    <row r="229" spans="1:22" x14ac:dyDescent="0.4">
      <c r="A229">
        <v>225</v>
      </c>
      <c r="N229" t="str">
        <f t="shared" si="7"/>
        <v/>
      </c>
      <c r="O229" s="6"/>
      <c r="S229">
        <v>225</v>
      </c>
      <c r="V229" t="str">
        <f>IF(U229&gt;0,SUM($U$5:U229),"")</f>
        <v/>
      </c>
    </row>
    <row r="230" spans="1:22" x14ac:dyDescent="0.4">
      <c r="A230">
        <v>226</v>
      </c>
      <c r="N230" t="str">
        <f t="shared" si="7"/>
        <v/>
      </c>
      <c r="O230" s="6"/>
      <c r="S230">
        <v>226</v>
      </c>
      <c r="V230" t="str">
        <f>IF(U230&gt;0,SUM($U$5:U230),"")</f>
        <v/>
      </c>
    </row>
    <row r="231" spans="1:22" x14ac:dyDescent="0.4">
      <c r="A231">
        <v>227</v>
      </c>
      <c r="N231" t="str">
        <f t="shared" si="7"/>
        <v/>
      </c>
      <c r="O231" s="6"/>
      <c r="S231">
        <v>227</v>
      </c>
      <c r="V231" t="str">
        <f>IF(U231&gt;0,SUM($U$5:U231),"")</f>
        <v/>
      </c>
    </row>
    <row r="232" spans="1:22" x14ac:dyDescent="0.4">
      <c r="A232">
        <v>228</v>
      </c>
      <c r="N232" t="str">
        <f t="shared" si="7"/>
        <v/>
      </c>
      <c r="O232" s="6"/>
      <c r="S232">
        <v>228</v>
      </c>
      <c r="V232" t="str">
        <f>IF(U232&gt;0,SUM($U$5:U232),"")</f>
        <v/>
      </c>
    </row>
    <row r="233" spans="1:22" x14ac:dyDescent="0.4">
      <c r="A233">
        <v>229</v>
      </c>
      <c r="N233" t="str">
        <f t="shared" si="7"/>
        <v/>
      </c>
      <c r="O233" s="6"/>
      <c r="S233">
        <v>229</v>
      </c>
      <c r="V233" t="str">
        <f>IF(U233&gt;0,SUM($U$5:U233),"")</f>
        <v/>
      </c>
    </row>
    <row r="234" spans="1:22" x14ac:dyDescent="0.4">
      <c r="A234">
        <v>230</v>
      </c>
      <c r="N234" t="str">
        <f t="shared" si="7"/>
        <v/>
      </c>
      <c r="O234" s="6"/>
      <c r="S234">
        <v>230</v>
      </c>
      <c r="V234" t="str">
        <f>IF(U234&gt;0,SUM($U$5:U234),"")</f>
        <v/>
      </c>
    </row>
    <row r="235" spans="1:22" x14ac:dyDescent="0.4">
      <c r="A235">
        <v>231</v>
      </c>
      <c r="N235" t="str">
        <f t="shared" si="7"/>
        <v/>
      </c>
      <c r="O235" s="6"/>
      <c r="S235">
        <v>231</v>
      </c>
      <c r="V235" t="str">
        <f>IF(U235&gt;0,SUM($U$5:U235),"")</f>
        <v/>
      </c>
    </row>
    <row r="236" spans="1:22" x14ac:dyDescent="0.4">
      <c r="A236">
        <v>232</v>
      </c>
      <c r="N236" t="str">
        <f t="shared" si="7"/>
        <v/>
      </c>
      <c r="O236" s="6"/>
      <c r="S236">
        <v>232</v>
      </c>
      <c r="V236" t="str">
        <f>IF(U236&gt;0,SUM($U$5:U236),"")</f>
        <v/>
      </c>
    </row>
    <row r="237" spans="1:22" x14ac:dyDescent="0.4">
      <c r="A237">
        <v>233</v>
      </c>
      <c r="N237" t="str">
        <f t="shared" si="7"/>
        <v/>
      </c>
      <c r="O237" s="6"/>
      <c r="S237">
        <v>233</v>
      </c>
      <c r="V237" t="str">
        <f>IF(U237&gt;0,SUM($U$5:U237),"")</f>
        <v/>
      </c>
    </row>
    <row r="238" spans="1:22" x14ac:dyDescent="0.4">
      <c r="A238">
        <v>234</v>
      </c>
      <c r="N238" t="str">
        <f t="shared" si="7"/>
        <v/>
      </c>
      <c r="O238" s="6"/>
      <c r="S238">
        <v>234</v>
      </c>
      <c r="V238" t="str">
        <f>IF(U238&gt;0,SUM($U$5:U238),"")</f>
        <v/>
      </c>
    </row>
    <row r="239" spans="1:22" x14ac:dyDescent="0.4">
      <c r="A239">
        <v>235</v>
      </c>
      <c r="N239" t="str">
        <f t="shared" si="7"/>
        <v/>
      </c>
      <c r="O239" s="6"/>
      <c r="S239">
        <v>235</v>
      </c>
      <c r="V239" t="str">
        <f>IF(U239&gt;0,SUM($U$5:U239),"")</f>
        <v/>
      </c>
    </row>
    <row r="240" spans="1:22" x14ac:dyDescent="0.4">
      <c r="A240">
        <v>236</v>
      </c>
      <c r="N240" t="str">
        <f t="shared" si="7"/>
        <v/>
      </c>
      <c r="O240" s="6"/>
      <c r="S240">
        <v>236</v>
      </c>
      <c r="V240" t="str">
        <f>IF(U240&gt;0,SUM($U$5:U240),"")</f>
        <v/>
      </c>
    </row>
    <row r="241" spans="1:22" x14ac:dyDescent="0.4">
      <c r="A241">
        <v>237</v>
      </c>
      <c r="N241" t="str">
        <f t="shared" si="7"/>
        <v/>
      </c>
      <c r="O241" s="6"/>
      <c r="S241">
        <v>237</v>
      </c>
      <c r="V241" t="str">
        <f>IF(U241&gt;0,SUM($U$5:U241),"")</f>
        <v/>
      </c>
    </row>
    <row r="242" spans="1:22" x14ac:dyDescent="0.4">
      <c r="A242">
        <v>238</v>
      </c>
      <c r="N242" t="str">
        <f t="shared" si="7"/>
        <v/>
      </c>
      <c r="O242" s="6"/>
      <c r="S242">
        <v>238</v>
      </c>
      <c r="V242" t="str">
        <f>IF(U242&gt;0,SUM($U$5:U242),"")</f>
        <v/>
      </c>
    </row>
    <row r="243" spans="1:22" x14ac:dyDescent="0.4">
      <c r="A243">
        <v>239</v>
      </c>
      <c r="N243" t="str">
        <f t="shared" si="7"/>
        <v/>
      </c>
      <c r="O243" s="6"/>
      <c r="S243">
        <v>239</v>
      </c>
      <c r="V243" t="str">
        <f>IF(U243&gt;0,SUM($U$5:U243),"")</f>
        <v/>
      </c>
    </row>
    <row r="244" spans="1:22" x14ac:dyDescent="0.4">
      <c r="A244">
        <v>240</v>
      </c>
      <c r="N244" t="str">
        <f t="shared" si="7"/>
        <v/>
      </c>
      <c r="O244" s="6"/>
      <c r="S244">
        <v>240</v>
      </c>
      <c r="V244" t="str">
        <f>IF(U244&gt;0,SUM($U$5:U244),"")</f>
        <v/>
      </c>
    </row>
    <row r="245" spans="1:22" x14ac:dyDescent="0.4">
      <c r="A245">
        <v>241</v>
      </c>
      <c r="N245" t="str">
        <f t="shared" si="7"/>
        <v/>
      </c>
      <c r="O245" s="6"/>
      <c r="S245">
        <v>241</v>
      </c>
      <c r="V245" t="str">
        <f>IF(U245&gt;0,SUM($U$5:U245),"")</f>
        <v/>
      </c>
    </row>
    <row r="246" spans="1:22" x14ac:dyDescent="0.4">
      <c r="A246">
        <v>242</v>
      </c>
      <c r="N246" t="str">
        <f t="shared" si="7"/>
        <v/>
      </c>
      <c r="O246" s="6"/>
      <c r="S246">
        <v>242</v>
      </c>
      <c r="V246" t="str">
        <f>IF(U246&gt;0,SUM($U$5:U246),"")</f>
        <v/>
      </c>
    </row>
    <row r="247" spans="1:22" x14ac:dyDescent="0.4">
      <c r="A247">
        <v>243</v>
      </c>
      <c r="N247" t="str">
        <f t="shared" si="7"/>
        <v/>
      </c>
      <c r="O247" s="6"/>
      <c r="S247">
        <v>243</v>
      </c>
      <c r="V247" t="str">
        <f>IF(U247&gt;0,SUM($U$5:U247),"")</f>
        <v/>
      </c>
    </row>
    <row r="248" spans="1:22" x14ac:dyDescent="0.4">
      <c r="A248">
        <v>244</v>
      </c>
      <c r="N248" t="str">
        <f t="shared" si="7"/>
        <v/>
      </c>
      <c r="O248" s="6"/>
      <c r="S248">
        <v>244</v>
      </c>
      <c r="V248" t="str">
        <f>IF(U248&gt;0,SUM($U$5:U248),"")</f>
        <v/>
      </c>
    </row>
    <row r="249" spans="1:22" x14ac:dyDescent="0.4">
      <c r="A249">
        <v>245</v>
      </c>
      <c r="N249" t="str">
        <f t="shared" si="7"/>
        <v/>
      </c>
      <c r="O249" s="6"/>
      <c r="S249">
        <v>245</v>
      </c>
      <c r="V249" t="str">
        <f>IF(U249&gt;0,SUM($U$5:U249),"")</f>
        <v/>
      </c>
    </row>
    <row r="250" spans="1:22" x14ac:dyDescent="0.4">
      <c r="A250">
        <v>246</v>
      </c>
      <c r="N250" t="str">
        <f t="shared" si="7"/>
        <v/>
      </c>
      <c r="O250" s="6"/>
      <c r="S250">
        <v>246</v>
      </c>
      <c r="V250" t="str">
        <f>IF(U250&gt;0,SUM($U$5:U250),"")</f>
        <v/>
      </c>
    </row>
    <row r="251" spans="1:22" x14ac:dyDescent="0.4">
      <c r="A251">
        <v>247</v>
      </c>
      <c r="N251" t="str">
        <f t="shared" si="7"/>
        <v/>
      </c>
      <c r="O251" s="6"/>
      <c r="S251">
        <v>247</v>
      </c>
      <c r="V251" t="str">
        <f>IF(U251&gt;0,SUM($U$5:U251),"")</f>
        <v/>
      </c>
    </row>
    <row r="252" spans="1:22" x14ac:dyDescent="0.4">
      <c r="A252">
        <v>248</v>
      </c>
      <c r="N252" t="str">
        <f t="shared" si="7"/>
        <v/>
      </c>
      <c r="O252" s="6"/>
      <c r="S252">
        <v>248</v>
      </c>
      <c r="V252" t="str">
        <f>IF(U252&gt;0,SUM($U$5:U252),"")</f>
        <v/>
      </c>
    </row>
    <row r="253" spans="1:22" x14ac:dyDescent="0.4">
      <c r="A253">
        <v>249</v>
      </c>
      <c r="N253" t="str">
        <f t="shared" si="7"/>
        <v/>
      </c>
      <c r="O253" s="6"/>
      <c r="S253">
        <v>249</v>
      </c>
      <c r="V253" t="str">
        <f>IF(U253&gt;0,SUM($U$5:U253),"")</f>
        <v/>
      </c>
    </row>
    <row r="254" spans="1:22" x14ac:dyDescent="0.4">
      <c r="A254">
        <v>250</v>
      </c>
      <c r="N254" t="str">
        <f t="shared" si="7"/>
        <v/>
      </c>
      <c r="O254" s="6"/>
      <c r="S254">
        <v>250</v>
      </c>
      <c r="V254" t="str">
        <f>IF(U254&gt;0,SUM($U$5:U254),"")</f>
        <v/>
      </c>
    </row>
    <row r="255" spans="1:22" x14ac:dyDescent="0.4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22" x14ac:dyDescent="0.4">
      <c r="O256" s="6"/>
    </row>
    <row r="257" spans="15:15" x14ac:dyDescent="0.4">
      <c r="O257" s="6"/>
    </row>
    <row r="258" spans="15:15" x14ac:dyDescent="0.4">
      <c r="O258" s="6"/>
    </row>
    <row r="259" spans="15:15" x14ac:dyDescent="0.4">
      <c r="O259" s="6"/>
    </row>
    <row r="260" spans="15:15" x14ac:dyDescent="0.4">
      <c r="O260" s="6"/>
    </row>
    <row r="261" spans="15:15" x14ac:dyDescent="0.4">
      <c r="O261" s="6"/>
    </row>
    <row r="262" spans="15:15" x14ac:dyDescent="0.4">
      <c r="O262" s="6"/>
    </row>
    <row r="263" spans="15:15" x14ac:dyDescent="0.4">
      <c r="O263" s="6"/>
    </row>
    <row r="264" spans="15:15" x14ac:dyDescent="0.4">
      <c r="O264" s="6"/>
    </row>
    <row r="265" spans="15:15" x14ac:dyDescent="0.4">
      <c r="O265" s="6"/>
    </row>
    <row r="266" spans="15:15" x14ac:dyDescent="0.4">
      <c r="O266" s="6"/>
    </row>
    <row r="267" spans="15:15" x14ac:dyDescent="0.4">
      <c r="O267" s="6"/>
    </row>
    <row r="268" spans="15:15" x14ac:dyDescent="0.4">
      <c r="O268" s="6"/>
    </row>
    <row r="269" spans="15:15" x14ac:dyDescent="0.4">
      <c r="O269" s="6"/>
    </row>
    <row r="270" spans="15:15" x14ac:dyDescent="0.4">
      <c r="O270" s="6"/>
    </row>
    <row r="271" spans="15:15" x14ac:dyDescent="0.4">
      <c r="O271" s="6"/>
    </row>
    <row r="272" spans="15:15" x14ac:dyDescent="0.4">
      <c r="O272" s="6"/>
    </row>
    <row r="273" spans="15:15" x14ac:dyDescent="0.4">
      <c r="O273" s="6"/>
    </row>
    <row r="274" spans="15:15" x14ac:dyDescent="0.4">
      <c r="O274" s="6"/>
    </row>
    <row r="275" spans="15:15" x14ac:dyDescent="0.4">
      <c r="O275" s="6"/>
    </row>
    <row r="276" spans="15:15" x14ac:dyDescent="0.4">
      <c r="O276" s="6"/>
    </row>
    <row r="277" spans="15:15" x14ac:dyDescent="0.4">
      <c r="O277" s="6"/>
    </row>
    <row r="278" spans="15:15" x14ac:dyDescent="0.4">
      <c r="O278" s="6"/>
    </row>
    <row r="279" spans="15:15" x14ac:dyDescent="0.4">
      <c r="O279" s="6"/>
    </row>
    <row r="280" spans="15:15" x14ac:dyDescent="0.4">
      <c r="O280" s="6"/>
    </row>
    <row r="281" spans="15:15" x14ac:dyDescent="0.4">
      <c r="O281" s="6"/>
    </row>
    <row r="282" spans="15:15" x14ac:dyDescent="0.4">
      <c r="O282" s="6"/>
    </row>
    <row r="283" spans="15:15" x14ac:dyDescent="0.4">
      <c r="O283" s="6"/>
    </row>
    <row r="284" spans="15:15" x14ac:dyDescent="0.4">
      <c r="O284" s="6"/>
    </row>
    <row r="285" spans="15:15" x14ac:dyDescent="0.4">
      <c r="O285" s="6"/>
    </row>
    <row r="286" spans="15:15" x14ac:dyDescent="0.4">
      <c r="O286" s="6"/>
    </row>
    <row r="287" spans="15:15" x14ac:dyDescent="0.4">
      <c r="O287" s="6"/>
    </row>
    <row r="288" spans="15:15" x14ac:dyDescent="0.4">
      <c r="O288" s="6"/>
    </row>
    <row r="289" spans="15:15" x14ac:dyDescent="0.4">
      <c r="O289" s="6"/>
    </row>
    <row r="290" spans="15:15" x14ac:dyDescent="0.4">
      <c r="O290" s="6"/>
    </row>
    <row r="291" spans="15:15" x14ac:dyDescent="0.4">
      <c r="O291" s="6"/>
    </row>
    <row r="292" spans="15:15" x14ac:dyDescent="0.4">
      <c r="O292" s="6"/>
    </row>
    <row r="293" spans="15:15" x14ac:dyDescent="0.4">
      <c r="O293" s="6"/>
    </row>
    <row r="294" spans="15:15" x14ac:dyDescent="0.4">
      <c r="O294" s="6"/>
    </row>
    <row r="295" spans="15:15" x14ac:dyDescent="0.4">
      <c r="O295" s="6"/>
    </row>
    <row r="296" spans="15:15" x14ac:dyDescent="0.4">
      <c r="O296" s="6"/>
    </row>
    <row r="297" spans="15:15" x14ac:dyDescent="0.4">
      <c r="O297" s="6"/>
    </row>
    <row r="298" spans="15:15" x14ac:dyDescent="0.4">
      <c r="O298" s="6"/>
    </row>
    <row r="299" spans="15:15" x14ac:dyDescent="0.4">
      <c r="O299" s="6"/>
    </row>
    <row r="300" spans="15:15" x14ac:dyDescent="0.4">
      <c r="O300" s="6"/>
    </row>
    <row r="301" spans="15:15" x14ac:dyDescent="0.4">
      <c r="O301" s="6"/>
    </row>
    <row r="302" spans="15:15" x14ac:dyDescent="0.4">
      <c r="O302" s="6"/>
    </row>
    <row r="303" spans="15:15" x14ac:dyDescent="0.4">
      <c r="O303" s="6"/>
    </row>
    <row r="304" spans="15:15" x14ac:dyDescent="0.4">
      <c r="O304" s="6"/>
    </row>
    <row r="305" spans="15:15" x14ac:dyDescent="0.4">
      <c r="O305" s="6"/>
    </row>
    <row r="306" spans="15:15" x14ac:dyDescent="0.4">
      <c r="O306" s="6"/>
    </row>
    <row r="307" spans="15:15" x14ac:dyDescent="0.4">
      <c r="O307" s="6"/>
    </row>
    <row r="308" spans="15:15" x14ac:dyDescent="0.4">
      <c r="O308" s="6"/>
    </row>
    <row r="309" spans="15:15" x14ac:dyDescent="0.4">
      <c r="O309" s="6"/>
    </row>
    <row r="310" spans="15:15" x14ac:dyDescent="0.4">
      <c r="O310" s="6"/>
    </row>
    <row r="311" spans="15:15" x14ac:dyDescent="0.4">
      <c r="O311" s="6"/>
    </row>
    <row r="312" spans="15:15" x14ac:dyDescent="0.4">
      <c r="O312" s="6"/>
    </row>
    <row r="313" spans="15:15" x14ac:dyDescent="0.4">
      <c r="O313" s="6"/>
    </row>
    <row r="314" spans="15:15" x14ac:dyDescent="0.4">
      <c r="O314" s="6"/>
    </row>
    <row r="315" spans="15:15" x14ac:dyDescent="0.4">
      <c r="O315" s="6"/>
    </row>
    <row r="316" spans="15:15" x14ac:dyDescent="0.4">
      <c r="O316" s="6"/>
    </row>
    <row r="317" spans="15:15" x14ac:dyDescent="0.4">
      <c r="O317" s="6"/>
    </row>
    <row r="318" spans="15:15" x14ac:dyDescent="0.4">
      <c r="O318" s="6"/>
    </row>
    <row r="319" spans="15:15" x14ac:dyDescent="0.4">
      <c r="O319" s="6"/>
    </row>
    <row r="320" spans="15:15" x14ac:dyDescent="0.4">
      <c r="O320" s="6"/>
    </row>
    <row r="321" spans="15:15" x14ac:dyDescent="0.4">
      <c r="O321" s="6"/>
    </row>
    <row r="322" spans="15:15" x14ac:dyDescent="0.4">
      <c r="O322" s="6"/>
    </row>
    <row r="323" spans="15:15" x14ac:dyDescent="0.4">
      <c r="O323" s="6"/>
    </row>
    <row r="324" spans="15:15" x14ac:dyDescent="0.4">
      <c r="O324" s="6"/>
    </row>
    <row r="325" spans="15:15" x14ac:dyDescent="0.4">
      <c r="O325" s="6"/>
    </row>
    <row r="326" spans="15:15" x14ac:dyDescent="0.4">
      <c r="O326" s="6"/>
    </row>
    <row r="327" spans="15:15" x14ac:dyDescent="0.4">
      <c r="O327" s="6"/>
    </row>
    <row r="328" spans="15:15" x14ac:dyDescent="0.4">
      <c r="O328" s="6"/>
    </row>
    <row r="329" spans="15:15" x14ac:dyDescent="0.4">
      <c r="O329" s="6"/>
    </row>
    <row r="330" spans="15:15" x14ac:dyDescent="0.4">
      <c r="O330" s="6"/>
    </row>
    <row r="331" spans="15:15" x14ac:dyDescent="0.4">
      <c r="O331" s="6"/>
    </row>
    <row r="332" spans="15:15" x14ac:dyDescent="0.4">
      <c r="O332" s="6"/>
    </row>
    <row r="333" spans="15:15" x14ac:dyDescent="0.4">
      <c r="O333" s="6"/>
    </row>
    <row r="334" spans="15:15" x14ac:dyDescent="0.4">
      <c r="O334" s="6"/>
    </row>
    <row r="335" spans="15:15" x14ac:dyDescent="0.4">
      <c r="O335" s="6"/>
    </row>
    <row r="336" spans="15:15" x14ac:dyDescent="0.4">
      <c r="O336" s="6"/>
    </row>
    <row r="337" spans="15:15" x14ac:dyDescent="0.4">
      <c r="O337" s="6"/>
    </row>
    <row r="338" spans="15:15" x14ac:dyDescent="0.4">
      <c r="O338" s="6"/>
    </row>
    <row r="339" spans="15:15" x14ac:dyDescent="0.4">
      <c r="O339" s="6"/>
    </row>
    <row r="340" spans="15:15" x14ac:dyDescent="0.4">
      <c r="O340" s="6"/>
    </row>
    <row r="341" spans="15:15" x14ac:dyDescent="0.4">
      <c r="O341" s="6"/>
    </row>
    <row r="342" spans="15:15" x14ac:dyDescent="0.4">
      <c r="O342" s="6"/>
    </row>
    <row r="343" spans="15:15" x14ac:dyDescent="0.4">
      <c r="O343" s="6"/>
    </row>
    <row r="344" spans="15:15" x14ac:dyDescent="0.4">
      <c r="O344" s="6"/>
    </row>
    <row r="345" spans="15:15" x14ac:dyDescent="0.4">
      <c r="O345" s="6"/>
    </row>
    <row r="346" spans="15:15" x14ac:dyDescent="0.4">
      <c r="O346" s="6"/>
    </row>
    <row r="347" spans="15:15" x14ac:dyDescent="0.4">
      <c r="O347" s="6"/>
    </row>
    <row r="348" spans="15:15" x14ac:dyDescent="0.4">
      <c r="O348" s="6"/>
    </row>
    <row r="349" spans="15:15" x14ac:dyDescent="0.4">
      <c r="O349" s="6"/>
    </row>
    <row r="350" spans="15:15" x14ac:dyDescent="0.4">
      <c r="O350" s="6"/>
    </row>
    <row r="351" spans="15:15" x14ac:dyDescent="0.4">
      <c r="O351" s="6"/>
    </row>
    <row r="352" spans="15:15" x14ac:dyDescent="0.4">
      <c r="O352" s="6"/>
    </row>
    <row r="353" spans="15:15" x14ac:dyDescent="0.4">
      <c r="O353" s="6"/>
    </row>
    <row r="354" spans="15:15" x14ac:dyDescent="0.4">
      <c r="O354" s="6"/>
    </row>
    <row r="355" spans="15:15" x14ac:dyDescent="0.4">
      <c r="O355" s="6"/>
    </row>
    <row r="356" spans="15:15" x14ac:dyDescent="0.4">
      <c r="O356" s="6"/>
    </row>
    <row r="357" spans="15:15" x14ac:dyDescent="0.4">
      <c r="O357" s="6"/>
    </row>
    <row r="358" spans="15:15" x14ac:dyDescent="0.4">
      <c r="O358" s="6"/>
    </row>
    <row r="359" spans="15:15" x14ac:dyDescent="0.4">
      <c r="O359" s="6"/>
    </row>
    <row r="360" spans="15:15" x14ac:dyDescent="0.4">
      <c r="O360" s="6"/>
    </row>
    <row r="361" spans="15:15" x14ac:dyDescent="0.4">
      <c r="O361" s="6"/>
    </row>
    <row r="362" spans="15:15" x14ac:dyDescent="0.4">
      <c r="O362" s="6"/>
    </row>
    <row r="363" spans="15:15" x14ac:dyDescent="0.4">
      <c r="O363" s="6"/>
    </row>
    <row r="364" spans="15:15" x14ac:dyDescent="0.4">
      <c r="O364" s="6"/>
    </row>
    <row r="365" spans="15:15" x14ac:dyDescent="0.4">
      <c r="O365" s="6"/>
    </row>
    <row r="366" spans="15:15" x14ac:dyDescent="0.4">
      <c r="O366" s="6"/>
    </row>
    <row r="367" spans="15:15" x14ac:dyDescent="0.4">
      <c r="O367" s="6"/>
    </row>
    <row r="368" spans="15:15" x14ac:dyDescent="0.4">
      <c r="O368" s="6"/>
    </row>
    <row r="369" spans="15:15" x14ac:dyDescent="0.4">
      <c r="O369" s="6"/>
    </row>
    <row r="370" spans="15:15" x14ac:dyDescent="0.4">
      <c r="O370" s="6"/>
    </row>
    <row r="371" spans="15:15" x14ac:dyDescent="0.4">
      <c r="O371" s="6"/>
    </row>
    <row r="372" spans="15:15" x14ac:dyDescent="0.4">
      <c r="O372" s="6"/>
    </row>
    <row r="373" spans="15:15" x14ac:dyDescent="0.4">
      <c r="O373" s="6"/>
    </row>
    <row r="374" spans="15:15" x14ac:dyDescent="0.4">
      <c r="O374" s="6"/>
    </row>
    <row r="375" spans="15:15" x14ac:dyDescent="0.4">
      <c r="O375" s="6"/>
    </row>
    <row r="376" spans="15:15" x14ac:dyDescent="0.4">
      <c r="O376" s="6"/>
    </row>
    <row r="377" spans="15:15" x14ac:dyDescent="0.4">
      <c r="O377" s="6"/>
    </row>
    <row r="378" spans="15:15" x14ac:dyDescent="0.4">
      <c r="O378" s="6"/>
    </row>
    <row r="379" spans="15:15" x14ac:dyDescent="0.4">
      <c r="O379" s="6"/>
    </row>
    <row r="380" spans="15:15" x14ac:dyDescent="0.4">
      <c r="O380" s="6"/>
    </row>
    <row r="381" spans="15:15" x14ac:dyDescent="0.4">
      <c r="O381" s="6"/>
    </row>
    <row r="382" spans="15:15" x14ac:dyDescent="0.4">
      <c r="O382" s="6"/>
    </row>
    <row r="383" spans="15:15" x14ac:dyDescent="0.4">
      <c r="O383" s="6"/>
    </row>
    <row r="384" spans="15:15" x14ac:dyDescent="0.4">
      <c r="O384" s="6"/>
    </row>
    <row r="385" spans="15:15" x14ac:dyDescent="0.4">
      <c r="O385" s="6"/>
    </row>
    <row r="386" spans="15:15" x14ac:dyDescent="0.4">
      <c r="O386" s="6"/>
    </row>
    <row r="387" spans="15:15" x14ac:dyDescent="0.4">
      <c r="O387" s="6"/>
    </row>
    <row r="388" spans="15:15" x14ac:dyDescent="0.4">
      <c r="O388" s="6"/>
    </row>
    <row r="389" spans="15:15" x14ac:dyDescent="0.4">
      <c r="O389" s="6"/>
    </row>
    <row r="390" spans="15:15" x14ac:dyDescent="0.4">
      <c r="O390" s="6"/>
    </row>
    <row r="391" spans="15:15" x14ac:dyDescent="0.4">
      <c r="O391" s="6"/>
    </row>
    <row r="392" spans="15:15" x14ac:dyDescent="0.4">
      <c r="O392" s="6"/>
    </row>
    <row r="393" spans="15:15" x14ac:dyDescent="0.4">
      <c r="O393" s="6"/>
    </row>
    <row r="394" spans="15:15" x14ac:dyDescent="0.4">
      <c r="O394" s="6"/>
    </row>
    <row r="395" spans="15:15" x14ac:dyDescent="0.4">
      <c r="O395" s="6"/>
    </row>
    <row r="396" spans="15:15" x14ac:dyDescent="0.4">
      <c r="O396" s="6"/>
    </row>
    <row r="397" spans="15:15" x14ac:dyDescent="0.4">
      <c r="O397" s="6"/>
    </row>
    <row r="398" spans="15:15" x14ac:dyDescent="0.4">
      <c r="O398" s="6"/>
    </row>
    <row r="399" spans="15:15" x14ac:dyDescent="0.4">
      <c r="O399" s="6"/>
    </row>
    <row r="400" spans="15:15" x14ac:dyDescent="0.4">
      <c r="O400" s="6"/>
    </row>
    <row r="401" spans="15:15" x14ac:dyDescent="0.4">
      <c r="O401" s="6"/>
    </row>
    <row r="402" spans="15:15" x14ac:dyDescent="0.4">
      <c r="O402" s="6"/>
    </row>
    <row r="403" spans="15:15" x14ac:dyDescent="0.4">
      <c r="O403" s="6"/>
    </row>
    <row r="404" spans="15:15" x14ac:dyDescent="0.4">
      <c r="O404" s="6"/>
    </row>
    <row r="405" spans="15:15" x14ac:dyDescent="0.4">
      <c r="O405" s="6"/>
    </row>
    <row r="406" spans="15:15" x14ac:dyDescent="0.4">
      <c r="O406" s="6"/>
    </row>
    <row r="407" spans="15:15" x14ac:dyDescent="0.4">
      <c r="O407" s="6"/>
    </row>
    <row r="408" spans="15:15" x14ac:dyDescent="0.4">
      <c r="O408" s="6"/>
    </row>
    <row r="409" spans="15:15" x14ac:dyDescent="0.4">
      <c r="O409" s="6"/>
    </row>
    <row r="410" spans="15:15" x14ac:dyDescent="0.4">
      <c r="O410" s="6"/>
    </row>
    <row r="411" spans="15:15" x14ac:dyDescent="0.4">
      <c r="O411" s="6"/>
    </row>
    <row r="412" spans="15:15" x14ac:dyDescent="0.4">
      <c r="O412" s="6"/>
    </row>
    <row r="413" spans="15:15" x14ac:dyDescent="0.4">
      <c r="O413" s="6"/>
    </row>
    <row r="414" spans="15:15" x14ac:dyDescent="0.4">
      <c r="O414" s="6"/>
    </row>
    <row r="415" spans="15:15" x14ac:dyDescent="0.4">
      <c r="O415" s="6"/>
    </row>
    <row r="416" spans="15:15" x14ac:dyDescent="0.4">
      <c r="O416" s="6"/>
    </row>
    <row r="417" spans="15:15" x14ac:dyDescent="0.4">
      <c r="O417" s="6"/>
    </row>
    <row r="418" spans="15:15" x14ac:dyDescent="0.4">
      <c r="O418" s="6"/>
    </row>
    <row r="419" spans="15:15" x14ac:dyDescent="0.4">
      <c r="O419" s="6"/>
    </row>
    <row r="420" spans="15:15" x14ac:dyDescent="0.4">
      <c r="O420" s="6"/>
    </row>
    <row r="421" spans="15:15" x14ac:dyDescent="0.4">
      <c r="O421" s="6"/>
    </row>
    <row r="422" spans="15:15" x14ac:dyDescent="0.4">
      <c r="O422" s="6"/>
    </row>
    <row r="423" spans="15:15" x14ac:dyDescent="0.4">
      <c r="O423" s="6"/>
    </row>
    <row r="424" spans="15:15" x14ac:dyDescent="0.4">
      <c r="O424" s="6"/>
    </row>
    <row r="425" spans="15:15" x14ac:dyDescent="0.4">
      <c r="O425" s="6"/>
    </row>
    <row r="426" spans="15:15" x14ac:dyDescent="0.4">
      <c r="O426" s="6"/>
    </row>
    <row r="427" spans="15:15" x14ac:dyDescent="0.4">
      <c r="O427" s="6"/>
    </row>
    <row r="428" spans="15:15" x14ac:dyDescent="0.4">
      <c r="O428" s="6"/>
    </row>
    <row r="429" spans="15:15" x14ac:dyDescent="0.4">
      <c r="O429" s="6"/>
    </row>
    <row r="430" spans="15:15" x14ac:dyDescent="0.4">
      <c r="O430" s="6"/>
    </row>
    <row r="431" spans="15:15" x14ac:dyDescent="0.4">
      <c r="O431" s="6"/>
    </row>
    <row r="432" spans="15:15" x14ac:dyDescent="0.4">
      <c r="O432" s="6"/>
    </row>
    <row r="433" spans="15:15" x14ac:dyDescent="0.4">
      <c r="O433" s="6"/>
    </row>
    <row r="434" spans="15:15" x14ac:dyDescent="0.4">
      <c r="O434" s="6"/>
    </row>
    <row r="435" spans="15:15" x14ac:dyDescent="0.4">
      <c r="O435" s="6"/>
    </row>
    <row r="436" spans="15:15" x14ac:dyDescent="0.4">
      <c r="O436" s="6"/>
    </row>
    <row r="437" spans="15:15" x14ac:dyDescent="0.4">
      <c r="O437" s="6"/>
    </row>
    <row r="438" spans="15:15" x14ac:dyDescent="0.4">
      <c r="O438" s="6"/>
    </row>
    <row r="439" spans="15:15" x14ac:dyDescent="0.4">
      <c r="O439" s="6"/>
    </row>
    <row r="440" spans="15:15" x14ac:dyDescent="0.4">
      <c r="O440" s="6"/>
    </row>
    <row r="441" spans="15:15" x14ac:dyDescent="0.4">
      <c r="O441" s="6"/>
    </row>
    <row r="442" spans="15:15" x14ac:dyDescent="0.4">
      <c r="O442" s="6"/>
    </row>
    <row r="443" spans="15:15" x14ac:dyDescent="0.4">
      <c r="O443" s="6"/>
    </row>
    <row r="444" spans="15:15" x14ac:dyDescent="0.4">
      <c r="O444" s="6"/>
    </row>
    <row r="445" spans="15:15" x14ac:dyDescent="0.4">
      <c r="O445" s="6"/>
    </row>
    <row r="446" spans="15:15" x14ac:dyDescent="0.4">
      <c r="O446" s="6"/>
    </row>
    <row r="447" spans="15:15" x14ac:dyDescent="0.4">
      <c r="O447" s="6"/>
    </row>
    <row r="448" spans="15:15" x14ac:dyDescent="0.4">
      <c r="O448" s="6"/>
    </row>
    <row r="449" spans="15:15" x14ac:dyDescent="0.4">
      <c r="O449" s="6"/>
    </row>
    <row r="450" spans="15:15" x14ac:dyDescent="0.4">
      <c r="O450" s="6"/>
    </row>
    <row r="451" spans="15:15" x14ac:dyDescent="0.4">
      <c r="O451" s="6"/>
    </row>
    <row r="452" spans="15:15" x14ac:dyDescent="0.4">
      <c r="O452" s="6"/>
    </row>
    <row r="453" spans="15:15" x14ac:dyDescent="0.4">
      <c r="O453" s="6"/>
    </row>
    <row r="454" spans="15:15" x14ac:dyDescent="0.4">
      <c r="O454" s="6"/>
    </row>
    <row r="455" spans="15:15" x14ac:dyDescent="0.4">
      <c r="O455" s="6"/>
    </row>
    <row r="456" spans="15:15" x14ac:dyDescent="0.4">
      <c r="O456" s="6"/>
    </row>
    <row r="457" spans="15:15" x14ac:dyDescent="0.4">
      <c r="O457" s="6"/>
    </row>
    <row r="458" spans="15:15" x14ac:dyDescent="0.4">
      <c r="O458" s="6"/>
    </row>
    <row r="459" spans="15:15" x14ac:dyDescent="0.4">
      <c r="O459" s="6"/>
    </row>
    <row r="460" spans="15:15" x14ac:dyDescent="0.4">
      <c r="O460" s="6"/>
    </row>
    <row r="461" spans="15:15" x14ac:dyDescent="0.4">
      <c r="O461" s="6"/>
    </row>
    <row r="462" spans="15:15" x14ac:dyDescent="0.4">
      <c r="O462" s="6"/>
    </row>
    <row r="463" spans="15:15" x14ac:dyDescent="0.4">
      <c r="O463" s="6"/>
    </row>
    <row r="464" spans="15:15" x14ac:dyDescent="0.4">
      <c r="O464" s="6"/>
    </row>
    <row r="465" spans="15:15" x14ac:dyDescent="0.4">
      <c r="O465" s="6"/>
    </row>
    <row r="466" spans="15:15" x14ac:dyDescent="0.4">
      <c r="O466" s="6"/>
    </row>
    <row r="467" spans="15:15" x14ac:dyDescent="0.4">
      <c r="O467" s="6"/>
    </row>
    <row r="468" spans="15:15" x14ac:dyDescent="0.4">
      <c r="O468" s="6"/>
    </row>
    <row r="469" spans="15:15" x14ac:dyDescent="0.4">
      <c r="O469" s="6"/>
    </row>
    <row r="470" spans="15:15" x14ac:dyDescent="0.4">
      <c r="O470" s="6"/>
    </row>
    <row r="471" spans="15:15" x14ac:dyDescent="0.4">
      <c r="O471" s="6"/>
    </row>
    <row r="472" spans="15:15" x14ac:dyDescent="0.4">
      <c r="O472" s="6"/>
    </row>
    <row r="473" spans="15:15" x14ac:dyDescent="0.4">
      <c r="O473" s="6"/>
    </row>
    <row r="474" spans="15:15" x14ac:dyDescent="0.4">
      <c r="O474" s="6"/>
    </row>
    <row r="475" spans="15:15" x14ac:dyDescent="0.4">
      <c r="O475" s="6"/>
    </row>
    <row r="476" spans="15:15" x14ac:dyDescent="0.4">
      <c r="O476" s="6"/>
    </row>
    <row r="477" spans="15:15" x14ac:dyDescent="0.4">
      <c r="O477" s="6"/>
    </row>
    <row r="478" spans="15:15" x14ac:dyDescent="0.4">
      <c r="O478" s="6"/>
    </row>
    <row r="479" spans="15:15" x14ac:dyDescent="0.4">
      <c r="O479" s="6"/>
    </row>
    <row r="480" spans="15:15" x14ac:dyDescent="0.4">
      <c r="O480" s="6"/>
    </row>
    <row r="481" spans="15:15" x14ac:dyDescent="0.4">
      <c r="O481" s="6"/>
    </row>
    <row r="482" spans="15:15" x14ac:dyDescent="0.4">
      <c r="O482" s="6"/>
    </row>
    <row r="483" spans="15:15" x14ac:dyDescent="0.4">
      <c r="O483" s="6"/>
    </row>
    <row r="484" spans="15:15" x14ac:dyDescent="0.4">
      <c r="O484" s="6"/>
    </row>
    <row r="485" spans="15:15" x14ac:dyDescent="0.4">
      <c r="O485" s="6"/>
    </row>
    <row r="486" spans="15:15" x14ac:dyDescent="0.4">
      <c r="O486" s="6"/>
    </row>
    <row r="487" spans="15:15" x14ac:dyDescent="0.4">
      <c r="O487" s="6"/>
    </row>
    <row r="488" spans="15:15" x14ac:dyDescent="0.4">
      <c r="O488" s="6"/>
    </row>
    <row r="489" spans="15:15" x14ac:dyDescent="0.4">
      <c r="O489" s="6"/>
    </row>
    <row r="490" spans="15:15" x14ac:dyDescent="0.4">
      <c r="O490" s="6"/>
    </row>
    <row r="491" spans="15:15" x14ac:dyDescent="0.4">
      <c r="O491" s="6"/>
    </row>
    <row r="492" spans="15:15" x14ac:dyDescent="0.4">
      <c r="O492" s="6"/>
    </row>
    <row r="493" spans="15:15" x14ac:dyDescent="0.4">
      <c r="O493" s="6"/>
    </row>
    <row r="494" spans="15:15" x14ac:dyDescent="0.4">
      <c r="O494" s="6"/>
    </row>
    <row r="495" spans="15:15" x14ac:dyDescent="0.4">
      <c r="O495" s="6"/>
    </row>
    <row r="496" spans="15:15" x14ac:dyDescent="0.4">
      <c r="O496" s="6"/>
    </row>
    <row r="497" spans="15:15" x14ac:dyDescent="0.4">
      <c r="O497" s="6"/>
    </row>
    <row r="498" spans="15:15" x14ac:dyDescent="0.4">
      <c r="O498" s="6"/>
    </row>
    <row r="499" spans="15:15" x14ac:dyDescent="0.4">
      <c r="O499" s="6"/>
    </row>
    <row r="500" spans="15:15" x14ac:dyDescent="0.4">
      <c r="O500" s="6"/>
    </row>
    <row r="501" spans="15:15" x14ac:dyDescent="0.4">
      <c r="O501" s="6"/>
    </row>
    <row r="502" spans="15:15" x14ac:dyDescent="0.4">
      <c r="O502" s="6"/>
    </row>
    <row r="503" spans="15:15" x14ac:dyDescent="0.4">
      <c r="O503" s="6"/>
    </row>
    <row r="504" spans="15:15" x14ac:dyDescent="0.4">
      <c r="O504" s="6"/>
    </row>
    <row r="505" spans="15:15" x14ac:dyDescent="0.4">
      <c r="O505" s="6"/>
    </row>
    <row r="506" spans="15:15" x14ac:dyDescent="0.4">
      <c r="O506" s="6"/>
    </row>
    <row r="507" spans="15:15" x14ac:dyDescent="0.4">
      <c r="O507" s="6"/>
    </row>
    <row r="508" spans="15:15" x14ac:dyDescent="0.4">
      <c r="O508" s="6"/>
    </row>
    <row r="509" spans="15:15" x14ac:dyDescent="0.4">
      <c r="O509" s="6"/>
    </row>
    <row r="510" spans="15:15" x14ac:dyDescent="0.4">
      <c r="O510" s="6"/>
    </row>
    <row r="511" spans="15:15" x14ac:dyDescent="0.4">
      <c r="O511" s="6"/>
    </row>
    <row r="512" spans="15:15" x14ac:dyDescent="0.4">
      <c r="O512" s="6"/>
    </row>
    <row r="513" spans="15:15" x14ac:dyDescent="0.4">
      <c r="O513" s="6"/>
    </row>
    <row r="514" spans="15:15" x14ac:dyDescent="0.4">
      <c r="O514" s="6"/>
    </row>
    <row r="515" spans="15:15" x14ac:dyDescent="0.4">
      <c r="O515" s="6"/>
    </row>
    <row r="516" spans="15:15" x14ac:dyDescent="0.4">
      <c r="O516" s="6"/>
    </row>
    <row r="517" spans="15:15" x14ac:dyDescent="0.4">
      <c r="O517" s="6"/>
    </row>
    <row r="518" spans="15:15" x14ac:dyDescent="0.4">
      <c r="O518" s="6"/>
    </row>
    <row r="519" spans="15:15" x14ac:dyDescent="0.4">
      <c r="O519" s="6"/>
    </row>
    <row r="520" spans="15:15" x14ac:dyDescent="0.4">
      <c r="O520" s="6"/>
    </row>
    <row r="521" spans="15:15" x14ac:dyDescent="0.4">
      <c r="O521" s="6"/>
    </row>
    <row r="522" spans="15:15" x14ac:dyDescent="0.4">
      <c r="O522" s="6"/>
    </row>
    <row r="523" spans="15:15" x14ac:dyDescent="0.4">
      <c r="O523" s="6"/>
    </row>
    <row r="524" spans="15:15" x14ac:dyDescent="0.4">
      <c r="O524" s="6"/>
    </row>
    <row r="525" spans="15:15" x14ac:dyDescent="0.4">
      <c r="O525" s="6"/>
    </row>
    <row r="526" spans="15:15" x14ac:dyDescent="0.4">
      <c r="O526" s="6"/>
    </row>
    <row r="527" spans="15:15" x14ac:dyDescent="0.4">
      <c r="O527" s="6"/>
    </row>
    <row r="528" spans="15:15" x14ac:dyDescent="0.4">
      <c r="O528" s="6"/>
    </row>
    <row r="529" spans="15:15" x14ac:dyDescent="0.4">
      <c r="O529" s="6"/>
    </row>
    <row r="530" spans="15:15" x14ac:dyDescent="0.4">
      <c r="O530" s="6"/>
    </row>
    <row r="531" spans="15:15" x14ac:dyDescent="0.4">
      <c r="O531" s="6"/>
    </row>
    <row r="532" spans="15:15" x14ac:dyDescent="0.4">
      <c r="O532" s="6"/>
    </row>
    <row r="533" spans="15:15" x14ac:dyDescent="0.4">
      <c r="O533" s="6"/>
    </row>
    <row r="534" spans="15:15" x14ac:dyDescent="0.4">
      <c r="O534" s="6"/>
    </row>
    <row r="535" spans="15:15" x14ac:dyDescent="0.4">
      <c r="O535" s="6"/>
    </row>
    <row r="536" spans="15:15" x14ac:dyDescent="0.4">
      <c r="O536" s="6"/>
    </row>
    <row r="537" spans="15:15" x14ac:dyDescent="0.4">
      <c r="O537" s="6"/>
    </row>
    <row r="538" spans="15:15" x14ac:dyDescent="0.4">
      <c r="O538" s="6"/>
    </row>
    <row r="539" spans="15:15" x14ac:dyDescent="0.4">
      <c r="O539" s="6"/>
    </row>
    <row r="540" spans="15:15" x14ac:dyDescent="0.4">
      <c r="O540" s="6"/>
    </row>
    <row r="541" spans="15:15" x14ac:dyDescent="0.4">
      <c r="O541" s="6"/>
    </row>
    <row r="542" spans="15:15" x14ac:dyDescent="0.4">
      <c r="O542" s="6"/>
    </row>
    <row r="543" spans="15:15" x14ac:dyDescent="0.4">
      <c r="O543" s="6"/>
    </row>
    <row r="544" spans="15:15" x14ac:dyDescent="0.4">
      <c r="O544" s="6"/>
    </row>
    <row r="545" spans="15:15" x14ac:dyDescent="0.4">
      <c r="O545" s="6"/>
    </row>
    <row r="546" spans="15:15" x14ac:dyDescent="0.4">
      <c r="O546" s="6"/>
    </row>
    <row r="547" spans="15:15" x14ac:dyDescent="0.4">
      <c r="O547" s="6"/>
    </row>
    <row r="548" spans="15:15" x14ac:dyDescent="0.4">
      <c r="O548" s="6"/>
    </row>
    <row r="549" spans="15:15" x14ac:dyDescent="0.4">
      <c r="O549" s="6"/>
    </row>
    <row r="550" spans="15:15" x14ac:dyDescent="0.4">
      <c r="O550" s="6"/>
    </row>
    <row r="551" spans="15:15" x14ac:dyDescent="0.4">
      <c r="O551" s="6"/>
    </row>
    <row r="552" spans="15:15" x14ac:dyDescent="0.4">
      <c r="O552" s="6"/>
    </row>
    <row r="553" spans="15:15" x14ac:dyDescent="0.4">
      <c r="O553" s="6"/>
    </row>
    <row r="554" spans="15:15" x14ac:dyDescent="0.4">
      <c r="O554" s="6"/>
    </row>
    <row r="555" spans="15:15" x14ac:dyDescent="0.4">
      <c r="O555" s="6"/>
    </row>
    <row r="556" spans="15:15" x14ac:dyDescent="0.4">
      <c r="O556" s="6"/>
    </row>
    <row r="557" spans="15:15" x14ac:dyDescent="0.4">
      <c r="O557" s="6"/>
    </row>
    <row r="558" spans="15:15" x14ac:dyDescent="0.4">
      <c r="O558" s="6"/>
    </row>
    <row r="559" spans="15:15" x14ac:dyDescent="0.4">
      <c r="O559" s="6"/>
    </row>
    <row r="560" spans="15:15" x14ac:dyDescent="0.4">
      <c r="O560" s="6"/>
    </row>
    <row r="561" spans="15:15" x14ac:dyDescent="0.4">
      <c r="O561" s="6"/>
    </row>
    <row r="562" spans="15:15" x14ac:dyDescent="0.4">
      <c r="O562" s="6"/>
    </row>
    <row r="563" spans="15:15" x14ac:dyDescent="0.4">
      <c r="O563" s="6"/>
    </row>
    <row r="564" spans="15:15" x14ac:dyDescent="0.4">
      <c r="O564" s="6"/>
    </row>
    <row r="565" spans="15:15" x14ac:dyDescent="0.4">
      <c r="O565" s="6"/>
    </row>
    <row r="566" spans="15:15" x14ac:dyDescent="0.4">
      <c r="O566" s="6"/>
    </row>
    <row r="567" spans="15:15" x14ac:dyDescent="0.4">
      <c r="O567" s="6"/>
    </row>
    <row r="568" spans="15:15" x14ac:dyDescent="0.4">
      <c r="O568" s="6"/>
    </row>
    <row r="569" spans="15:15" x14ac:dyDescent="0.4">
      <c r="O569" s="6"/>
    </row>
    <row r="570" spans="15:15" x14ac:dyDescent="0.4">
      <c r="O570" s="6"/>
    </row>
    <row r="571" spans="15:15" x14ac:dyDescent="0.4">
      <c r="O571" s="6"/>
    </row>
    <row r="572" spans="15:15" x14ac:dyDescent="0.4">
      <c r="O572" s="6"/>
    </row>
    <row r="573" spans="15:15" x14ac:dyDescent="0.4">
      <c r="O573" s="6"/>
    </row>
    <row r="574" spans="15:15" x14ac:dyDescent="0.4">
      <c r="O574" s="6"/>
    </row>
    <row r="575" spans="15:15" x14ac:dyDescent="0.4">
      <c r="O575" s="6"/>
    </row>
    <row r="576" spans="15:15" x14ac:dyDescent="0.4">
      <c r="O576" s="6"/>
    </row>
    <row r="577" spans="15:15" x14ac:dyDescent="0.4">
      <c r="O577" s="6"/>
    </row>
    <row r="578" spans="15:15" x14ac:dyDescent="0.4">
      <c r="O578" s="6"/>
    </row>
    <row r="579" spans="15:15" x14ac:dyDescent="0.4">
      <c r="O579" s="6"/>
    </row>
    <row r="580" spans="15:15" x14ac:dyDescent="0.4">
      <c r="O580" s="6"/>
    </row>
    <row r="581" spans="15:15" x14ac:dyDescent="0.4">
      <c r="O581" s="6"/>
    </row>
    <row r="582" spans="15:15" x14ac:dyDescent="0.4">
      <c r="O582" s="6"/>
    </row>
    <row r="583" spans="15:15" x14ac:dyDescent="0.4">
      <c r="O583" s="6"/>
    </row>
    <row r="584" spans="15:15" x14ac:dyDescent="0.4">
      <c r="O584" s="6"/>
    </row>
    <row r="585" spans="15:15" x14ac:dyDescent="0.4">
      <c r="O585" s="6"/>
    </row>
    <row r="586" spans="15:15" x14ac:dyDescent="0.4">
      <c r="O586" s="6"/>
    </row>
    <row r="587" spans="15:15" x14ac:dyDescent="0.4">
      <c r="O587" s="6"/>
    </row>
    <row r="588" spans="15:15" x14ac:dyDescent="0.4">
      <c r="O588" s="6"/>
    </row>
    <row r="589" spans="15:15" x14ac:dyDescent="0.4">
      <c r="O589" s="6"/>
    </row>
    <row r="590" spans="15:15" x14ac:dyDescent="0.4">
      <c r="O590" s="6"/>
    </row>
    <row r="591" spans="15:15" x14ac:dyDescent="0.4">
      <c r="O591" s="6"/>
    </row>
    <row r="592" spans="15:15" x14ac:dyDescent="0.4">
      <c r="O592" s="6"/>
    </row>
    <row r="593" spans="15:15" x14ac:dyDescent="0.4">
      <c r="O593" s="6"/>
    </row>
    <row r="594" spans="15:15" x14ac:dyDescent="0.4">
      <c r="O594" s="6"/>
    </row>
    <row r="595" spans="15:15" x14ac:dyDescent="0.4">
      <c r="O595" s="6"/>
    </row>
    <row r="596" spans="15:15" x14ac:dyDescent="0.4">
      <c r="O596" s="6"/>
    </row>
    <row r="597" spans="15:15" x14ac:dyDescent="0.4">
      <c r="O597" s="6"/>
    </row>
    <row r="598" spans="15:15" x14ac:dyDescent="0.4">
      <c r="O598" s="6"/>
    </row>
    <row r="599" spans="15:15" x14ac:dyDescent="0.4">
      <c r="O599" s="6"/>
    </row>
    <row r="600" spans="15:15" x14ac:dyDescent="0.4">
      <c r="O600" s="6"/>
    </row>
    <row r="601" spans="15:15" x14ac:dyDescent="0.4">
      <c r="O601" s="6"/>
    </row>
    <row r="602" spans="15:15" x14ac:dyDescent="0.4">
      <c r="O602" s="6"/>
    </row>
    <row r="603" spans="15:15" x14ac:dyDescent="0.4">
      <c r="O603" s="6"/>
    </row>
    <row r="604" spans="15:15" x14ac:dyDescent="0.4">
      <c r="O604" s="6"/>
    </row>
    <row r="605" spans="15:15" x14ac:dyDescent="0.4">
      <c r="O605" s="6"/>
    </row>
    <row r="606" spans="15:15" x14ac:dyDescent="0.4">
      <c r="O606" s="6"/>
    </row>
    <row r="607" spans="15:15" x14ac:dyDescent="0.4">
      <c r="O607" s="6"/>
    </row>
    <row r="608" spans="15:15" x14ac:dyDescent="0.4">
      <c r="O608" s="6"/>
    </row>
    <row r="609" spans="15:15" x14ac:dyDescent="0.4">
      <c r="O609" s="6"/>
    </row>
    <row r="610" spans="15:15" x14ac:dyDescent="0.4">
      <c r="O610" s="6"/>
    </row>
    <row r="611" spans="15:15" x14ac:dyDescent="0.4">
      <c r="O611" s="6"/>
    </row>
    <row r="612" spans="15:15" x14ac:dyDescent="0.4">
      <c r="O612" s="6"/>
    </row>
    <row r="613" spans="15:15" x14ac:dyDescent="0.4">
      <c r="O613" s="6"/>
    </row>
    <row r="614" spans="15:15" x14ac:dyDescent="0.4">
      <c r="O614" s="6"/>
    </row>
    <row r="615" spans="15:15" x14ac:dyDescent="0.4">
      <c r="O615" s="6"/>
    </row>
    <row r="616" spans="15:15" x14ac:dyDescent="0.4">
      <c r="O616" s="6"/>
    </row>
    <row r="617" spans="15:15" x14ac:dyDescent="0.4">
      <c r="O617" s="6"/>
    </row>
    <row r="618" spans="15:15" x14ac:dyDescent="0.4">
      <c r="O618" s="6"/>
    </row>
    <row r="619" spans="15:15" x14ac:dyDescent="0.4">
      <c r="O619" s="6"/>
    </row>
    <row r="620" spans="15:15" x14ac:dyDescent="0.4">
      <c r="O620" s="6"/>
    </row>
    <row r="621" spans="15:15" x14ac:dyDescent="0.4">
      <c r="O621" s="6"/>
    </row>
    <row r="622" spans="15:15" x14ac:dyDescent="0.4">
      <c r="O622" s="6"/>
    </row>
    <row r="623" spans="15:15" x14ac:dyDescent="0.4">
      <c r="O623" s="6"/>
    </row>
    <row r="624" spans="15:15" x14ac:dyDescent="0.4">
      <c r="O624" s="6"/>
    </row>
    <row r="625" spans="15:15" x14ac:dyDescent="0.4">
      <c r="O625" s="6"/>
    </row>
    <row r="626" spans="15:15" x14ac:dyDescent="0.4">
      <c r="O626" s="6"/>
    </row>
    <row r="627" spans="15:15" x14ac:dyDescent="0.4">
      <c r="O627" s="6"/>
    </row>
    <row r="628" spans="15:15" x14ac:dyDescent="0.4">
      <c r="O628" s="6"/>
    </row>
    <row r="629" spans="15:15" x14ac:dyDescent="0.4">
      <c r="O629" s="6"/>
    </row>
    <row r="630" spans="15:15" x14ac:dyDescent="0.4">
      <c r="O630" s="6"/>
    </row>
    <row r="631" spans="15:15" x14ac:dyDescent="0.4">
      <c r="O631" s="6"/>
    </row>
    <row r="632" spans="15:15" x14ac:dyDescent="0.4">
      <c r="O632" s="6"/>
    </row>
    <row r="633" spans="15:15" x14ac:dyDescent="0.4">
      <c r="O633" s="6"/>
    </row>
    <row r="634" spans="15:15" x14ac:dyDescent="0.4">
      <c r="O634" s="6"/>
    </row>
    <row r="635" spans="15:15" x14ac:dyDescent="0.4">
      <c r="O635" s="6"/>
    </row>
    <row r="636" spans="15:15" x14ac:dyDescent="0.4">
      <c r="O636" s="6"/>
    </row>
    <row r="637" spans="15:15" x14ac:dyDescent="0.4">
      <c r="O637" s="6"/>
    </row>
    <row r="638" spans="15:15" x14ac:dyDescent="0.4">
      <c r="O638" s="6"/>
    </row>
    <row r="639" spans="15:15" x14ac:dyDescent="0.4">
      <c r="O639" s="6"/>
    </row>
    <row r="640" spans="15:15" x14ac:dyDescent="0.4">
      <c r="O640" s="6"/>
    </row>
    <row r="641" spans="15:15" x14ac:dyDescent="0.4">
      <c r="O641" s="6"/>
    </row>
    <row r="642" spans="15:15" x14ac:dyDescent="0.4">
      <c r="O642" s="6"/>
    </row>
    <row r="643" spans="15:15" x14ac:dyDescent="0.4">
      <c r="O643" s="6"/>
    </row>
    <row r="644" spans="15:15" x14ac:dyDescent="0.4">
      <c r="O644" s="6"/>
    </row>
    <row r="645" spans="15:15" x14ac:dyDescent="0.4">
      <c r="O645" s="6"/>
    </row>
    <row r="646" spans="15:15" x14ac:dyDescent="0.4">
      <c r="O646" s="6"/>
    </row>
    <row r="647" spans="15:15" x14ac:dyDescent="0.4">
      <c r="O647" s="6"/>
    </row>
    <row r="648" spans="15:15" x14ac:dyDescent="0.4">
      <c r="O648" s="6"/>
    </row>
    <row r="649" spans="15:15" x14ac:dyDescent="0.4">
      <c r="O649" s="6"/>
    </row>
    <row r="650" spans="15:15" x14ac:dyDescent="0.4">
      <c r="O650" s="6"/>
    </row>
    <row r="651" spans="15:15" x14ac:dyDescent="0.4">
      <c r="O651" s="6"/>
    </row>
    <row r="652" spans="15:15" x14ac:dyDescent="0.4">
      <c r="O652" s="6"/>
    </row>
    <row r="653" spans="15:15" x14ac:dyDescent="0.4">
      <c r="O653" s="6"/>
    </row>
    <row r="654" spans="15:15" x14ac:dyDescent="0.4">
      <c r="O654" s="6"/>
    </row>
    <row r="655" spans="15:15" x14ac:dyDescent="0.4">
      <c r="O655" s="6"/>
    </row>
    <row r="656" spans="15:15" x14ac:dyDescent="0.4">
      <c r="O656" s="6"/>
    </row>
    <row r="657" spans="15:15" x14ac:dyDescent="0.4">
      <c r="O657" s="6"/>
    </row>
    <row r="658" spans="15:15" x14ac:dyDescent="0.4">
      <c r="O658" s="6"/>
    </row>
    <row r="659" spans="15:15" x14ac:dyDescent="0.4">
      <c r="O659" s="6"/>
    </row>
    <row r="660" spans="15:15" x14ac:dyDescent="0.4">
      <c r="O660" s="6"/>
    </row>
    <row r="661" spans="15:15" x14ac:dyDescent="0.4">
      <c r="O661" s="6"/>
    </row>
    <row r="662" spans="15:15" x14ac:dyDescent="0.4">
      <c r="O662" s="6"/>
    </row>
    <row r="663" spans="15:15" x14ac:dyDescent="0.4">
      <c r="O663" s="6"/>
    </row>
    <row r="664" spans="15:15" x14ac:dyDescent="0.4">
      <c r="O664" s="6"/>
    </row>
    <row r="665" spans="15:15" x14ac:dyDescent="0.4">
      <c r="O665" s="6"/>
    </row>
    <row r="666" spans="15:15" x14ac:dyDescent="0.4">
      <c r="O666" s="6"/>
    </row>
    <row r="667" spans="15:15" x14ac:dyDescent="0.4">
      <c r="O667" s="6"/>
    </row>
    <row r="668" spans="15:15" x14ac:dyDescent="0.4">
      <c r="O668" s="6"/>
    </row>
    <row r="669" spans="15:15" x14ac:dyDescent="0.4">
      <c r="O669" s="6"/>
    </row>
    <row r="670" spans="15:15" x14ac:dyDescent="0.4">
      <c r="O670" s="6"/>
    </row>
    <row r="671" spans="15:15" x14ac:dyDescent="0.4">
      <c r="O671" s="6"/>
    </row>
    <row r="672" spans="15:15" x14ac:dyDescent="0.4">
      <c r="O672" s="6"/>
    </row>
    <row r="673" spans="15:15" x14ac:dyDescent="0.4">
      <c r="O673" s="6"/>
    </row>
    <row r="674" spans="15:15" x14ac:dyDescent="0.4">
      <c r="O674" s="6"/>
    </row>
    <row r="675" spans="15:15" x14ac:dyDescent="0.4">
      <c r="O675" s="6"/>
    </row>
    <row r="676" spans="15:15" x14ac:dyDescent="0.4">
      <c r="O676" s="6"/>
    </row>
    <row r="677" spans="15:15" x14ac:dyDescent="0.4">
      <c r="O677" s="6"/>
    </row>
    <row r="678" spans="15:15" x14ac:dyDescent="0.4">
      <c r="O678" s="6"/>
    </row>
    <row r="679" spans="15:15" x14ac:dyDescent="0.4">
      <c r="O679" s="6"/>
    </row>
    <row r="680" spans="15:15" x14ac:dyDescent="0.4">
      <c r="O680" s="6"/>
    </row>
    <row r="681" spans="15:15" x14ac:dyDescent="0.4">
      <c r="O681" s="6"/>
    </row>
    <row r="682" spans="15:15" x14ac:dyDescent="0.4">
      <c r="O682" s="6"/>
    </row>
    <row r="683" spans="15:15" x14ac:dyDescent="0.4">
      <c r="O683" s="6"/>
    </row>
    <row r="684" spans="15:15" x14ac:dyDescent="0.4">
      <c r="O684" s="6"/>
    </row>
    <row r="685" spans="15:15" x14ac:dyDescent="0.4">
      <c r="O685" s="6"/>
    </row>
    <row r="686" spans="15:15" x14ac:dyDescent="0.4">
      <c r="O686" s="6"/>
    </row>
    <row r="687" spans="15:15" x14ac:dyDescent="0.4">
      <c r="O687" s="6"/>
    </row>
    <row r="688" spans="15:15" x14ac:dyDescent="0.4">
      <c r="O688" s="6"/>
    </row>
    <row r="689" spans="15:15" x14ac:dyDescent="0.4">
      <c r="O689" s="6"/>
    </row>
    <row r="690" spans="15:15" x14ac:dyDescent="0.4">
      <c r="O690" s="6"/>
    </row>
    <row r="691" spans="15:15" x14ac:dyDescent="0.4">
      <c r="O691" s="6"/>
    </row>
    <row r="692" spans="15:15" x14ac:dyDescent="0.4">
      <c r="O692" s="6"/>
    </row>
    <row r="693" spans="15:15" x14ac:dyDescent="0.4">
      <c r="O693" s="6"/>
    </row>
    <row r="694" spans="15:15" x14ac:dyDescent="0.4">
      <c r="O694" s="6"/>
    </row>
    <row r="695" spans="15:15" x14ac:dyDescent="0.4">
      <c r="O695" s="6"/>
    </row>
    <row r="696" spans="15:15" x14ac:dyDescent="0.4">
      <c r="O696" s="6"/>
    </row>
    <row r="697" spans="15:15" x14ac:dyDescent="0.4">
      <c r="O697" s="6"/>
    </row>
    <row r="698" spans="15:15" x14ac:dyDescent="0.4">
      <c r="O698" s="6"/>
    </row>
    <row r="699" spans="15:15" x14ac:dyDescent="0.4">
      <c r="O699" s="6"/>
    </row>
    <row r="700" spans="15:15" x14ac:dyDescent="0.4">
      <c r="O700" s="6"/>
    </row>
    <row r="701" spans="15:15" x14ac:dyDescent="0.4">
      <c r="O701" s="6"/>
    </row>
    <row r="702" spans="15:15" x14ac:dyDescent="0.4">
      <c r="O702" s="6"/>
    </row>
    <row r="703" spans="15:15" x14ac:dyDescent="0.4">
      <c r="O703" s="6"/>
    </row>
    <row r="704" spans="15:15" x14ac:dyDescent="0.4">
      <c r="O704" s="6"/>
    </row>
    <row r="705" spans="15:15" x14ac:dyDescent="0.4">
      <c r="O705" s="6"/>
    </row>
    <row r="706" spans="15:15" x14ac:dyDescent="0.4">
      <c r="O706" s="6"/>
    </row>
    <row r="707" spans="15:15" x14ac:dyDescent="0.4">
      <c r="O707" s="6"/>
    </row>
    <row r="708" spans="15:15" x14ac:dyDescent="0.4">
      <c r="O708" s="6"/>
    </row>
    <row r="709" spans="15:15" x14ac:dyDescent="0.4">
      <c r="O709" s="6"/>
    </row>
    <row r="710" spans="15:15" x14ac:dyDescent="0.4">
      <c r="O710" s="6"/>
    </row>
    <row r="711" spans="15:15" x14ac:dyDescent="0.4">
      <c r="O711" s="6"/>
    </row>
    <row r="712" spans="15:15" x14ac:dyDescent="0.4">
      <c r="O712" s="6"/>
    </row>
    <row r="713" spans="15:15" x14ac:dyDescent="0.4">
      <c r="O713" s="6"/>
    </row>
    <row r="714" spans="15:15" x14ac:dyDescent="0.4">
      <c r="O714" s="6"/>
    </row>
    <row r="715" spans="15:15" x14ac:dyDescent="0.4">
      <c r="O715" s="6"/>
    </row>
    <row r="716" spans="15:15" x14ac:dyDescent="0.4">
      <c r="O716" s="6"/>
    </row>
    <row r="717" spans="15:15" x14ac:dyDescent="0.4">
      <c r="O717" s="6"/>
    </row>
    <row r="718" spans="15:15" x14ac:dyDescent="0.4">
      <c r="O718" s="6"/>
    </row>
    <row r="719" spans="15:15" x14ac:dyDescent="0.4">
      <c r="O719" s="6"/>
    </row>
    <row r="720" spans="15:15" x14ac:dyDescent="0.4">
      <c r="O720" s="6"/>
    </row>
    <row r="721" spans="15:15" x14ac:dyDescent="0.4">
      <c r="O721" s="6"/>
    </row>
    <row r="722" spans="15:15" x14ac:dyDescent="0.4">
      <c r="O722" s="6"/>
    </row>
    <row r="723" spans="15:15" x14ac:dyDescent="0.4">
      <c r="O723" s="6"/>
    </row>
    <row r="724" spans="15:15" x14ac:dyDescent="0.4">
      <c r="O724" s="6"/>
    </row>
    <row r="725" spans="15:15" x14ac:dyDescent="0.4">
      <c r="O725" s="6"/>
    </row>
    <row r="726" spans="15:15" x14ac:dyDescent="0.4">
      <c r="O726" s="6"/>
    </row>
    <row r="727" spans="15:15" x14ac:dyDescent="0.4">
      <c r="O727" s="6"/>
    </row>
    <row r="728" spans="15:15" x14ac:dyDescent="0.4">
      <c r="O728" s="6"/>
    </row>
    <row r="729" spans="15:15" x14ac:dyDescent="0.4">
      <c r="O729" s="6"/>
    </row>
    <row r="730" spans="15:15" x14ac:dyDescent="0.4">
      <c r="O730" s="6"/>
    </row>
    <row r="731" spans="15:15" x14ac:dyDescent="0.4">
      <c r="O731" s="6"/>
    </row>
    <row r="732" spans="15:15" x14ac:dyDescent="0.4">
      <c r="O732" s="6"/>
    </row>
    <row r="733" spans="15:15" x14ac:dyDescent="0.4">
      <c r="O733" s="6"/>
    </row>
    <row r="734" spans="15:15" x14ac:dyDescent="0.4">
      <c r="O734" s="6"/>
    </row>
    <row r="735" spans="15:15" x14ac:dyDescent="0.4">
      <c r="O735" s="6"/>
    </row>
    <row r="736" spans="15:15" x14ac:dyDescent="0.4">
      <c r="O736" s="6"/>
    </row>
    <row r="737" spans="15:15" x14ac:dyDescent="0.4">
      <c r="O737" s="6"/>
    </row>
    <row r="738" spans="15:15" x14ac:dyDescent="0.4">
      <c r="O738" s="6"/>
    </row>
    <row r="739" spans="15:15" x14ac:dyDescent="0.4">
      <c r="O739" s="6"/>
    </row>
    <row r="740" spans="15:15" x14ac:dyDescent="0.4">
      <c r="O740" s="6"/>
    </row>
    <row r="741" spans="15:15" x14ac:dyDescent="0.4">
      <c r="O741" s="6"/>
    </row>
    <row r="742" spans="15:15" x14ac:dyDescent="0.4">
      <c r="O742" s="6"/>
    </row>
    <row r="743" spans="15:15" x14ac:dyDescent="0.4">
      <c r="O743" s="6"/>
    </row>
    <row r="744" spans="15:15" x14ac:dyDescent="0.4">
      <c r="O744" s="6"/>
    </row>
    <row r="745" spans="15:15" x14ac:dyDescent="0.4">
      <c r="O745" s="6"/>
    </row>
    <row r="746" spans="15:15" x14ac:dyDescent="0.4">
      <c r="O746" s="6"/>
    </row>
    <row r="747" spans="15:15" x14ac:dyDescent="0.4">
      <c r="O747" s="6"/>
    </row>
    <row r="748" spans="15:15" x14ac:dyDescent="0.4">
      <c r="O748" s="6"/>
    </row>
    <row r="749" spans="15:15" x14ac:dyDescent="0.4">
      <c r="O749" s="6"/>
    </row>
    <row r="750" spans="15:15" x14ac:dyDescent="0.4">
      <c r="O750" s="6"/>
    </row>
    <row r="751" spans="15:15" x14ac:dyDescent="0.4">
      <c r="O751" s="6"/>
    </row>
    <row r="752" spans="15:15" x14ac:dyDescent="0.4">
      <c r="O752" s="6"/>
    </row>
    <row r="753" spans="15:15" x14ac:dyDescent="0.4">
      <c r="O753" s="6"/>
    </row>
    <row r="754" spans="15:15" x14ac:dyDescent="0.4">
      <c r="O754" s="6"/>
    </row>
    <row r="755" spans="15:15" x14ac:dyDescent="0.4">
      <c r="O755" s="6"/>
    </row>
    <row r="756" spans="15:15" x14ac:dyDescent="0.4">
      <c r="O756" s="6"/>
    </row>
    <row r="757" spans="15:15" x14ac:dyDescent="0.4">
      <c r="O757" s="6"/>
    </row>
    <row r="758" spans="15:15" x14ac:dyDescent="0.4">
      <c r="O758" s="6"/>
    </row>
    <row r="759" spans="15:15" x14ac:dyDescent="0.4">
      <c r="O759" s="6"/>
    </row>
    <row r="760" spans="15:15" x14ac:dyDescent="0.4">
      <c r="O760" s="6"/>
    </row>
    <row r="761" spans="15:15" x14ac:dyDescent="0.4">
      <c r="O761" s="6"/>
    </row>
    <row r="762" spans="15:15" x14ac:dyDescent="0.4">
      <c r="O762" s="6"/>
    </row>
    <row r="763" spans="15:15" x14ac:dyDescent="0.4">
      <c r="O763" s="6"/>
    </row>
    <row r="764" spans="15:15" x14ac:dyDescent="0.4">
      <c r="O764" s="6"/>
    </row>
    <row r="765" spans="15:15" x14ac:dyDescent="0.4">
      <c r="O765" s="6"/>
    </row>
    <row r="766" spans="15:15" x14ac:dyDescent="0.4">
      <c r="O766" s="6"/>
    </row>
    <row r="767" spans="15:15" x14ac:dyDescent="0.4">
      <c r="O767" s="6"/>
    </row>
    <row r="768" spans="15:15" x14ac:dyDescent="0.4">
      <c r="O768" s="6"/>
    </row>
    <row r="769" spans="15:15" x14ac:dyDescent="0.4">
      <c r="O769" s="6"/>
    </row>
    <row r="770" spans="15:15" x14ac:dyDescent="0.4">
      <c r="O770" s="6"/>
    </row>
    <row r="771" spans="15:15" x14ac:dyDescent="0.4">
      <c r="O771" s="6"/>
    </row>
    <row r="772" spans="15:15" x14ac:dyDescent="0.4">
      <c r="O772" s="6"/>
    </row>
    <row r="773" spans="15:15" x14ac:dyDescent="0.4">
      <c r="O773" s="6"/>
    </row>
    <row r="774" spans="15:15" x14ac:dyDescent="0.4">
      <c r="O774" s="6"/>
    </row>
    <row r="775" spans="15:15" x14ac:dyDescent="0.4">
      <c r="O775" s="6"/>
    </row>
    <row r="776" spans="15:15" x14ac:dyDescent="0.4">
      <c r="O776" s="6"/>
    </row>
    <row r="777" spans="15:15" x14ac:dyDescent="0.4">
      <c r="O777" s="6"/>
    </row>
    <row r="778" spans="15:15" x14ac:dyDescent="0.4">
      <c r="O778" s="6"/>
    </row>
    <row r="779" spans="15:15" x14ac:dyDescent="0.4">
      <c r="O779" s="6"/>
    </row>
    <row r="780" spans="15:15" x14ac:dyDescent="0.4">
      <c r="O780" s="6"/>
    </row>
    <row r="781" spans="15:15" x14ac:dyDescent="0.4">
      <c r="O781" s="6"/>
    </row>
    <row r="782" spans="15:15" x14ac:dyDescent="0.4">
      <c r="O782" s="6"/>
    </row>
    <row r="783" spans="15:15" x14ac:dyDescent="0.4">
      <c r="O783" s="6"/>
    </row>
    <row r="784" spans="15:15" x14ac:dyDescent="0.4">
      <c r="O784" s="6"/>
    </row>
    <row r="785" spans="15:15" x14ac:dyDescent="0.4">
      <c r="O785" s="6"/>
    </row>
    <row r="786" spans="15:15" x14ac:dyDescent="0.4">
      <c r="O786" s="6"/>
    </row>
    <row r="787" spans="15:15" x14ac:dyDescent="0.4">
      <c r="O787" s="6"/>
    </row>
    <row r="788" spans="15:15" x14ac:dyDescent="0.4">
      <c r="O788" s="6"/>
    </row>
    <row r="789" spans="15:15" x14ac:dyDescent="0.4">
      <c r="O789" s="6"/>
    </row>
    <row r="790" spans="15:15" x14ac:dyDescent="0.4">
      <c r="O790" s="6"/>
    </row>
    <row r="791" spans="15:15" x14ac:dyDescent="0.4">
      <c r="O791" s="6"/>
    </row>
    <row r="792" spans="15:15" x14ac:dyDescent="0.4">
      <c r="O792" s="6"/>
    </row>
    <row r="793" spans="15:15" x14ac:dyDescent="0.4">
      <c r="O793" s="6"/>
    </row>
    <row r="794" spans="15:15" x14ac:dyDescent="0.4">
      <c r="O794" s="6"/>
    </row>
    <row r="795" spans="15:15" x14ac:dyDescent="0.4">
      <c r="O795" s="6"/>
    </row>
    <row r="796" spans="15:15" x14ac:dyDescent="0.4">
      <c r="O796" s="6"/>
    </row>
    <row r="797" spans="15:15" x14ac:dyDescent="0.4">
      <c r="O797" s="6"/>
    </row>
    <row r="798" spans="15:15" x14ac:dyDescent="0.4">
      <c r="O798" s="6"/>
    </row>
    <row r="799" spans="15:15" x14ac:dyDescent="0.4">
      <c r="O799" s="6"/>
    </row>
    <row r="800" spans="15:15" x14ac:dyDescent="0.4">
      <c r="O800" s="6"/>
    </row>
    <row r="801" spans="15:15" x14ac:dyDescent="0.4">
      <c r="O801" s="6"/>
    </row>
    <row r="802" spans="15:15" x14ac:dyDescent="0.4">
      <c r="O802" s="6"/>
    </row>
    <row r="803" spans="15:15" x14ac:dyDescent="0.4">
      <c r="O803" s="6"/>
    </row>
    <row r="804" spans="15:15" x14ac:dyDescent="0.4">
      <c r="O804" s="6"/>
    </row>
    <row r="805" spans="15:15" x14ac:dyDescent="0.4">
      <c r="O805" s="6"/>
    </row>
    <row r="806" spans="15:15" x14ac:dyDescent="0.4">
      <c r="O806" s="6"/>
    </row>
    <row r="807" spans="15:15" x14ac:dyDescent="0.4">
      <c r="O807" s="6"/>
    </row>
    <row r="808" spans="15:15" x14ac:dyDescent="0.4">
      <c r="O808" s="6"/>
    </row>
    <row r="809" spans="15:15" x14ac:dyDescent="0.4">
      <c r="O809" s="6"/>
    </row>
    <row r="810" spans="15:15" x14ac:dyDescent="0.4">
      <c r="O810" s="6"/>
    </row>
    <row r="811" spans="15:15" x14ac:dyDescent="0.4">
      <c r="O811" s="6"/>
    </row>
    <row r="812" spans="15:15" x14ac:dyDescent="0.4">
      <c r="O812" s="6"/>
    </row>
    <row r="813" spans="15:15" x14ac:dyDescent="0.4">
      <c r="O813" s="6"/>
    </row>
    <row r="814" spans="15:15" x14ac:dyDescent="0.4">
      <c r="O814" s="6"/>
    </row>
    <row r="815" spans="15:15" x14ac:dyDescent="0.4">
      <c r="O815" s="6"/>
    </row>
    <row r="816" spans="15:15" x14ac:dyDescent="0.4">
      <c r="O816" s="6"/>
    </row>
    <row r="817" spans="15:15" x14ac:dyDescent="0.4">
      <c r="O817" s="6"/>
    </row>
    <row r="818" spans="15:15" x14ac:dyDescent="0.4">
      <c r="O818" s="6"/>
    </row>
    <row r="819" spans="15:15" x14ac:dyDescent="0.4">
      <c r="O819" s="6"/>
    </row>
    <row r="820" spans="15:15" x14ac:dyDescent="0.4">
      <c r="O820" s="6"/>
    </row>
    <row r="821" spans="15:15" x14ac:dyDescent="0.4">
      <c r="O821" s="6"/>
    </row>
    <row r="822" spans="15:15" x14ac:dyDescent="0.4">
      <c r="O822" s="6"/>
    </row>
    <row r="823" spans="15:15" x14ac:dyDescent="0.4">
      <c r="O823" s="6"/>
    </row>
    <row r="824" spans="15:15" x14ac:dyDescent="0.4">
      <c r="O824" s="6"/>
    </row>
    <row r="825" spans="15:15" x14ac:dyDescent="0.4">
      <c r="O825" s="6"/>
    </row>
    <row r="826" spans="15:15" x14ac:dyDescent="0.4">
      <c r="O826" s="6"/>
    </row>
    <row r="827" spans="15:15" x14ac:dyDescent="0.4">
      <c r="O827" s="6"/>
    </row>
    <row r="828" spans="15:15" x14ac:dyDescent="0.4">
      <c r="O828" s="6"/>
    </row>
    <row r="829" spans="15:15" x14ac:dyDescent="0.4">
      <c r="O829" s="6"/>
    </row>
    <row r="830" spans="15:15" x14ac:dyDescent="0.4">
      <c r="O830" s="6"/>
    </row>
    <row r="831" spans="15:15" x14ac:dyDescent="0.4">
      <c r="O831" s="6"/>
    </row>
    <row r="832" spans="15:15" x14ac:dyDescent="0.4">
      <c r="O832" s="6"/>
    </row>
    <row r="833" spans="15:15" x14ac:dyDescent="0.4">
      <c r="O833" s="6"/>
    </row>
    <row r="834" spans="15:15" x14ac:dyDescent="0.4">
      <c r="O834" s="6"/>
    </row>
    <row r="835" spans="15:15" x14ac:dyDescent="0.4">
      <c r="O835" s="6"/>
    </row>
    <row r="836" spans="15:15" x14ac:dyDescent="0.4">
      <c r="O836" s="6"/>
    </row>
    <row r="837" spans="15:15" x14ac:dyDescent="0.4">
      <c r="O837" s="6"/>
    </row>
    <row r="838" spans="15:15" x14ac:dyDescent="0.4">
      <c r="O838" s="6"/>
    </row>
    <row r="839" spans="15:15" x14ac:dyDescent="0.4">
      <c r="O839" s="6"/>
    </row>
    <row r="840" spans="15:15" x14ac:dyDescent="0.4">
      <c r="O840" s="6"/>
    </row>
    <row r="841" spans="15:15" x14ac:dyDescent="0.4">
      <c r="O841" s="6"/>
    </row>
    <row r="842" spans="15:15" x14ac:dyDescent="0.4">
      <c r="O842" s="6"/>
    </row>
    <row r="843" spans="15:15" x14ac:dyDescent="0.4">
      <c r="O843" s="6"/>
    </row>
    <row r="844" spans="15:15" x14ac:dyDescent="0.4">
      <c r="O844" s="6"/>
    </row>
    <row r="845" spans="15:15" x14ac:dyDescent="0.4">
      <c r="O845" s="6"/>
    </row>
    <row r="846" spans="15:15" x14ac:dyDescent="0.4">
      <c r="O846" s="6"/>
    </row>
    <row r="847" spans="15:15" x14ac:dyDescent="0.4">
      <c r="O847" s="6"/>
    </row>
    <row r="848" spans="15:15" x14ac:dyDescent="0.4">
      <c r="O848" s="6"/>
    </row>
    <row r="849" spans="15:15" x14ac:dyDescent="0.4">
      <c r="O849" s="6"/>
    </row>
    <row r="850" spans="15:15" x14ac:dyDescent="0.4">
      <c r="O850" s="6"/>
    </row>
    <row r="851" spans="15:15" x14ac:dyDescent="0.4">
      <c r="O851" s="6"/>
    </row>
    <row r="852" spans="15:15" x14ac:dyDescent="0.4">
      <c r="O852" s="6"/>
    </row>
    <row r="853" spans="15:15" x14ac:dyDescent="0.4">
      <c r="O853" s="6"/>
    </row>
    <row r="854" spans="15:15" x14ac:dyDescent="0.4">
      <c r="O854" s="6"/>
    </row>
    <row r="855" spans="15:15" x14ac:dyDescent="0.4">
      <c r="O855" s="6"/>
    </row>
    <row r="856" spans="15:15" x14ac:dyDescent="0.4">
      <c r="O856" s="6"/>
    </row>
    <row r="857" spans="15:15" x14ac:dyDescent="0.4">
      <c r="O857" s="6"/>
    </row>
    <row r="858" spans="15:15" x14ac:dyDescent="0.4">
      <c r="O858" s="6"/>
    </row>
    <row r="859" spans="15:15" x14ac:dyDescent="0.4">
      <c r="O859" s="6"/>
    </row>
    <row r="860" spans="15:15" x14ac:dyDescent="0.4">
      <c r="O860" s="6"/>
    </row>
    <row r="861" spans="15:15" x14ac:dyDescent="0.4">
      <c r="O861" s="6"/>
    </row>
    <row r="862" spans="15:15" x14ac:dyDescent="0.4">
      <c r="O862" s="6"/>
    </row>
    <row r="863" spans="15:15" x14ac:dyDescent="0.4">
      <c r="O863" s="6"/>
    </row>
    <row r="864" spans="15:15" x14ac:dyDescent="0.4">
      <c r="O864" s="6"/>
    </row>
    <row r="865" spans="15:15" x14ac:dyDescent="0.4">
      <c r="O865" s="6"/>
    </row>
    <row r="866" spans="15:15" x14ac:dyDescent="0.4">
      <c r="O866" s="6"/>
    </row>
    <row r="867" spans="15:15" x14ac:dyDescent="0.4">
      <c r="O867" s="6"/>
    </row>
    <row r="868" spans="15:15" x14ac:dyDescent="0.4">
      <c r="O868" s="6"/>
    </row>
    <row r="869" spans="15:15" x14ac:dyDescent="0.4">
      <c r="O869" s="6"/>
    </row>
    <row r="870" spans="15:15" x14ac:dyDescent="0.4">
      <c r="O870" s="6"/>
    </row>
    <row r="871" spans="15:15" x14ac:dyDescent="0.4">
      <c r="O871" s="6"/>
    </row>
    <row r="872" spans="15:15" x14ac:dyDescent="0.4">
      <c r="O872" s="6"/>
    </row>
    <row r="873" spans="15:15" x14ac:dyDescent="0.4">
      <c r="O873" s="6"/>
    </row>
    <row r="874" spans="15:15" x14ac:dyDescent="0.4">
      <c r="O874" s="6"/>
    </row>
    <row r="875" spans="15:15" x14ac:dyDescent="0.4">
      <c r="O875" s="6"/>
    </row>
    <row r="876" spans="15:15" x14ac:dyDescent="0.4">
      <c r="O876" s="6"/>
    </row>
    <row r="877" spans="15:15" x14ac:dyDescent="0.4">
      <c r="O877" s="6"/>
    </row>
    <row r="878" spans="15:15" x14ac:dyDescent="0.4">
      <c r="O878" s="6"/>
    </row>
    <row r="879" spans="15:15" x14ac:dyDescent="0.4">
      <c r="O879" s="6"/>
    </row>
    <row r="880" spans="15:15" x14ac:dyDescent="0.4">
      <c r="O880" s="6"/>
    </row>
    <row r="881" spans="15:15" x14ac:dyDescent="0.4">
      <c r="O881" s="6"/>
    </row>
    <row r="882" spans="15:15" x14ac:dyDescent="0.4">
      <c r="O882" s="6"/>
    </row>
    <row r="883" spans="15:15" x14ac:dyDescent="0.4">
      <c r="O883" s="6"/>
    </row>
    <row r="884" spans="15:15" x14ac:dyDescent="0.4">
      <c r="O884" s="6"/>
    </row>
    <row r="885" spans="15:15" x14ac:dyDescent="0.4">
      <c r="O885" s="6"/>
    </row>
    <row r="886" spans="15:15" x14ac:dyDescent="0.4">
      <c r="O886" s="6"/>
    </row>
    <row r="887" spans="15:15" x14ac:dyDescent="0.4">
      <c r="O887" s="6"/>
    </row>
    <row r="888" spans="15:15" x14ac:dyDescent="0.4">
      <c r="O888" s="6"/>
    </row>
    <row r="889" spans="15:15" x14ac:dyDescent="0.4">
      <c r="O889" s="6"/>
    </row>
    <row r="890" spans="15:15" x14ac:dyDescent="0.4">
      <c r="O890" s="6"/>
    </row>
    <row r="891" spans="15:15" x14ac:dyDescent="0.4">
      <c r="O891" s="6"/>
    </row>
    <row r="892" spans="15:15" x14ac:dyDescent="0.4">
      <c r="O892" s="6"/>
    </row>
    <row r="893" spans="15:15" x14ac:dyDescent="0.4">
      <c r="O893" s="6"/>
    </row>
    <row r="894" spans="15:15" x14ac:dyDescent="0.4">
      <c r="O894" s="6"/>
    </row>
    <row r="895" spans="15:15" x14ac:dyDescent="0.4">
      <c r="O895" s="6"/>
    </row>
    <row r="896" spans="15:15" x14ac:dyDescent="0.4">
      <c r="O896" s="6"/>
    </row>
    <row r="897" spans="15:15" x14ac:dyDescent="0.4">
      <c r="O897" s="6"/>
    </row>
    <row r="898" spans="15:15" x14ac:dyDescent="0.4">
      <c r="O898" s="6"/>
    </row>
    <row r="899" spans="15:15" x14ac:dyDescent="0.4">
      <c r="O899" s="6"/>
    </row>
    <row r="900" spans="15:15" x14ac:dyDescent="0.4">
      <c r="O900" s="6"/>
    </row>
    <row r="901" spans="15:15" x14ac:dyDescent="0.4">
      <c r="O901" s="6"/>
    </row>
    <row r="902" spans="15:15" x14ac:dyDescent="0.4">
      <c r="O902" s="6"/>
    </row>
    <row r="903" spans="15:15" x14ac:dyDescent="0.4">
      <c r="O903" s="6"/>
    </row>
    <row r="904" spans="15:15" x14ac:dyDescent="0.4">
      <c r="O904" s="6"/>
    </row>
    <row r="905" spans="15:15" x14ac:dyDescent="0.4">
      <c r="O905" s="6"/>
    </row>
    <row r="906" spans="15:15" x14ac:dyDescent="0.4">
      <c r="O906" s="6"/>
    </row>
    <row r="907" spans="15:15" x14ac:dyDescent="0.4">
      <c r="O907" s="6"/>
    </row>
    <row r="908" spans="15:15" x14ac:dyDescent="0.4">
      <c r="O908" s="6"/>
    </row>
    <row r="909" spans="15:15" x14ac:dyDescent="0.4">
      <c r="O909" s="6"/>
    </row>
    <row r="910" spans="15:15" x14ac:dyDescent="0.4">
      <c r="O910" s="6"/>
    </row>
    <row r="911" spans="15:15" x14ac:dyDescent="0.4">
      <c r="O911" s="6"/>
    </row>
    <row r="912" spans="15:15" x14ac:dyDescent="0.4">
      <c r="O912" s="6"/>
    </row>
    <row r="913" spans="15:15" x14ac:dyDescent="0.4">
      <c r="O913" s="6"/>
    </row>
    <row r="914" spans="15:15" x14ac:dyDescent="0.4">
      <c r="O914" s="6"/>
    </row>
    <row r="915" spans="15:15" x14ac:dyDescent="0.4">
      <c r="O915" s="6"/>
    </row>
    <row r="916" spans="15:15" x14ac:dyDescent="0.4">
      <c r="O916" s="6"/>
    </row>
    <row r="917" spans="15:15" x14ac:dyDescent="0.4">
      <c r="O917" s="6"/>
    </row>
    <row r="918" spans="15:15" x14ac:dyDescent="0.4">
      <c r="O918" s="6"/>
    </row>
    <row r="919" spans="15:15" x14ac:dyDescent="0.4">
      <c r="O919" s="6"/>
    </row>
    <row r="920" spans="15:15" x14ac:dyDescent="0.4">
      <c r="O920" s="6"/>
    </row>
    <row r="921" spans="15:15" x14ac:dyDescent="0.4">
      <c r="O921" s="6"/>
    </row>
    <row r="922" spans="15:15" x14ac:dyDescent="0.4">
      <c r="O922" s="6"/>
    </row>
    <row r="923" spans="15:15" x14ac:dyDescent="0.4">
      <c r="O923" s="6"/>
    </row>
    <row r="924" spans="15:15" x14ac:dyDescent="0.4">
      <c r="O924" s="6"/>
    </row>
    <row r="925" spans="15:15" x14ac:dyDescent="0.4">
      <c r="O925" s="6"/>
    </row>
    <row r="926" spans="15:15" x14ac:dyDescent="0.4">
      <c r="O926" s="6"/>
    </row>
    <row r="927" spans="15:15" x14ac:dyDescent="0.4">
      <c r="O927" s="6"/>
    </row>
    <row r="928" spans="15:15" x14ac:dyDescent="0.4">
      <c r="O928" s="6"/>
    </row>
    <row r="929" spans="15:15" x14ac:dyDescent="0.4">
      <c r="O929" s="6"/>
    </row>
    <row r="930" spans="15:15" x14ac:dyDescent="0.4">
      <c r="O930" s="6"/>
    </row>
    <row r="931" spans="15:15" x14ac:dyDescent="0.4">
      <c r="O931" s="6"/>
    </row>
    <row r="932" spans="15:15" x14ac:dyDescent="0.4">
      <c r="O932" s="6"/>
    </row>
    <row r="933" spans="15:15" x14ac:dyDescent="0.4">
      <c r="O933" s="6"/>
    </row>
    <row r="934" spans="15:15" x14ac:dyDescent="0.4">
      <c r="O934" s="6"/>
    </row>
    <row r="935" spans="15:15" x14ac:dyDescent="0.4">
      <c r="O935" s="6"/>
    </row>
    <row r="936" spans="15:15" x14ac:dyDescent="0.4">
      <c r="O936" s="6"/>
    </row>
    <row r="937" spans="15:15" x14ac:dyDescent="0.4">
      <c r="O937" s="6"/>
    </row>
    <row r="938" spans="15:15" x14ac:dyDescent="0.4">
      <c r="O938" s="6"/>
    </row>
    <row r="939" spans="15:15" x14ac:dyDescent="0.4">
      <c r="O939" s="6"/>
    </row>
    <row r="940" spans="15:15" x14ac:dyDescent="0.4">
      <c r="O940" s="6"/>
    </row>
    <row r="941" spans="15:15" x14ac:dyDescent="0.4">
      <c r="O941" s="6"/>
    </row>
    <row r="942" spans="15:15" x14ac:dyDescent="0.4">
      <c r="O942" s="6"/>
    </row>
    <row r="943" spans="15:15" x14ac:dyDescent="0.4">
      <c r="O943" s="6"/>
    </row>
    <row r="944" spans="15:15" x14ac:dyDescent="0.4">
      <c r="O944" s="6"/>
    </row>
    <row r="945" spans="15:15" x14ac:dyDescent="0.4">
      <c r="O945" s="6"/>
    </row>
    <row r="946" spans="15:15" x14ac:dyDescent="0.4">
      <c r="O946" s="6"/>
    </row>
    <row r="947" spans="15:15" x14ac:dyDescent="0.4">
      <c r="O947" s="6"/>
    </row>
    <row r="948" spans="15:15" x14ac:dyDescent="0.4">
      <c r="O948" s="6"/>
    </row>
    <row r="949" spans="15:15" x14ac:dyDescent="0.4">
      <c r="O949" s="6"/>
    </row>
    <row r="950" spans="15:15" x14ac:dyDescent="0.4">
      <c r="O950" s="6"/>
    </row>
    <row r="951" spans="15:15" x14ac:dyDescent="0.4">
      <c r="O951" s="6"/>
    </row>
    <row r="952" spans="15:15" x14ac:dyDescent="0.4">
      <c r="O952" s="6"/>
    </row>
    <row r="953" spans="15:15" x14ac:dyDescent="0.4">
      <c r="O953" s="6"/>
    </row>
    <row r="954" spans="15:15" x14ac:dyDescent="0.4">
      <c r="O954" s="6"/>
    </row>
    <row r="955" spans="15:15" x14ac:dyDescent="0.4">
      <c r="O955" s="6"/>
    </row>
    <row r="956" spans="15:15" x14ac:dyDescent="0.4">
      <c r="O956" s="6"/>
    </row>
    <row r="957" spans="15:15" x14ac:dyDescent="0.4">
      <c r="O957" s="6"/>
    </row>
    <row r="958" spans="15:15" x14ac:dyDescent="0.4">
      <c r="O958" s="6"/>
    </row>
    <row r="959" spans="15:15" x14ac:dyDescent="0.4">
      <c r="O959" s="6"/>
    </row>
    <row r="960" spans="15:15" x14ac:dyDescent="0.4">
      <c r="O960" s="6"/>
    </row>
    <row r="961" spans="15:15" x14ac:dyDescent="0.4">
      <c r="O961" s="6"/>
    </row>
    <row r="962" spans="15:15" x14ac:dyDescent="0.4">
      <c r="O962" s="6"/>
    </row>
    <row r="963" spans="15:15" x14ac:dyDescent="0.4">
      <c r="O963" s="6"/>
    </row>
    <row r="964" spans="15:15" x14ac:dyDescent="0.4">
      <c r="O964" s="6"/>
    </row>
    <row r="965" spans="15:15" x14ac:dyDescent="0.4">
      <c r="O965" s="6"/>
    </row>
    <row r="966" spans="15:15" x14ac:dyDescent="0.4">
      <c r="O966" s="6"/>
    </row>
    <row r="967" spans="15:15" x14ac:dyDescent="0.4">
      <c r="O967" s="6"/>
    </row>
    <row r="968" spans="15:15" x14ac:dyDescent="0.4">
      <c r="O968" s="6"/>
    </row>
    <row r="969" spans="15:15" x14ac:dyDescent="0.4">
      <c r="O969" s="6"/>
    </row>
    <row r="970" spans="15:15" x14ac:dyDescent="0.4">
      <c r="O970" s="6"/>
    </row>
    <row r="971" spans="15:15" x14ac:dyDescent="0.4">
      <c r="O971" s="6"/>
    </row>
    <row r="972" spans="15:15" x14ac:dyDescent="0.4">
      <c r="O972" s="6"/>
    </row>
    <row r="973" spans="15:15" x14ac:dyDescent="0.4">
      <c r="O973" s="6"/>
    </row>
    <row r="974" spans="15:15" x14ac:dyDescent="0.4">
      <c r="O974" s="6"/>
    </row>
    <row r="975" spans="15:15" x14ac:dyDescent="0.4">
      <c r="O975" s="6"/>
    </row>
    <row r="976" spans="15:15" x14ac:dyDescent="0.4">
      <c r="O976" s="6"/>
    </row>
    <row r="977" spans="15:15" x14ac:dyDescent="0.4">
      <c r="O977" s="6"/>
    </row>
    <row r="978" spans="15:15" x14ac:dyDescent="0.4">
      <c r="O978" s="6"/>
    </row>
    <row r="979" spans="15:15" x14ac:dyDescent="0.4">
      <c r="O979" s="6"/>
    </row>
    <row r="980" spans="15:15" x14ac:dyDescent="0.4">
      <c r="O980" s="6"/>
    </row>
    <row r="981" spans="15:15" x14ac:dyDescent="0.4">
      <c r="O981" s="6"/>
    </row>
    <row r="982" spans="15:15" x14ac:dyDescent="0.4">
      <c r="O982" s="6"/>
    </row>
    <row r="983" spans="15:15" x14ac:dyDescent="0.4">
      <c r="O983" s="6"/>
    </row>
    <row r="984" spans="15:15" x14ac:dyDescent="0.4">
      <c r="O984" s="6"/>
    </row>
    <row r="985" spans="15:15" x14ac:dyDescent="0.4">
      <c r="O985" s="6"/>
    </row>
    <row r="986" spans="15:15" x14ac:dyDescent="0.4">
      <c r="O986" s="6"/>
    </row>
    <row r="987" spans="15:15" x14ac:dyDescent="0.4">
      <c r="O987" s="6"/>
    </row>
    <row r="988" spans="15:15" x14ac:dyDescent="0.4">
      <c r="O988" s="6"/>
    </row>
    <row r="989" spans="15:15" x14ac:dyDescent="0.4">
      <c r="O989" s="6"/>
    </row>
    <row r="990" spans="15:15" x14ac:dyDescent="0.4">
      <c r="O990" s="6"/>
    </row>
    <row r="991" spans="15:15" x14ac:dyDescent="0.4">
      <c r="O991" s="6"/>
    </row>
    <row r="992" spans="15:15" x14ac:dyDescent="0.4">
      <c r="O992" s="6"/>
    </row>
    <row r="993" spans="15:15" x14ac:dyDescent="0.4">
      <c r="O993" s="6"/>
    </row>
    <row r="994" spans="15:15" x14ac:dyDescent="0.4">
      <c r="O994" s="6"/>
    </row>
    <row r="995" spans="15:15" x14ac:dyDescent="0.4">
      <c r="O995" s="6"/>
    </row>
    <row r="996" spans="15:15" x14ac:dyDescent="0.4">
      <c r="O996" s="6"/>
    </row>
    <row r="997" spans="15:15" x14ac:dyDescent="0.4">
      <c r="O997" s="6"/>
    </row>
    <row r="998" spans="15:15" x14ac:dyDescent="0.4">
      <c r="O998" s="6"/>
    </row>
    <row r="999" spans="15:15" x14ac:dyDescent="0.4">
      <c r="O999" s="6"/>
    </row>
    <row r="1000" spans="15:15" x14ac:dyDescent="0.4">
      <c r="O1000" s="6"/>
    </row>
    <row r="1001" spans="15:15" x14ac:dyDescent="0.4">
      <c r="O1001" s="6"/>
    </row>
    <row r="1002" spans="15:15" x14ac:dyDescent="0.4">
      <c r="O1002" s="6"/>
    </row>
    <row r="1003" spans="15:15" x14ac:dyDescent="0.4">
      <c r="O1003" s="6"/>
    </row>
    <row r="1004" spans="15:15" x14ac:dyDescent="0.4">
      <c r="O1004" s="6"/>
    </row>
    <row r="1005" spans="15:15" x14ac:dyDescent="0.4">
      <c r="O1005" s="6"/>
    </row>
    <row r="1006" spans="15:15" x14ac:dyDescent="0.4">
      <c r="O1006" s="6"/>
    </row>
    <row r="1007" spans="15:15" x14ac:dyDescent="0.4">
      <c r="O1007" s="6"/>
    </row>
    <row r="1008" spans="15:15" x14ac:dyDescent="0.4">
      <c r="O1008" s="6"/>
    </row>
    <row r="1009" spans="15:15" x14ac:dyDescent="0.4">
      <c r="O1009" s="6"/>
    </row>
    <row r="1010" spans="15:15" x14ac:dyDescent="0.4">
      <c r="O1010" s="6"/>
    </row>
    <row r="1011" spans="15:15" x14ac:dyDescent="0.4">
      <c r="O1011" s="6"/>
    </row>
    <row r="1012" spans="15:15" x14ac:dyDescent="0.4">
      <c r="O1012" s="6"/>
    </row>
    <row r="1013" spans="15:15" x14ac:dyDescent="0.4">
      <c r="O1013" s="6"/>
    </row>
    <row r="1014" spans="15:15" x14ac:dyDescent="0.4">
      <c r="O1014" s="6"/>
    </row>
    <row r="1015" spans="15:15" x14ac:dyDescent="0.4">
      <c r="O1015" s="6"/>
    </row>
    <row r="1016" spans="15:15" x14ac:dyDescent="0.4">
      <c r="O1016" s="6"/>
    </row>
    <row r="1017" spans="15:15" x14ac:dyDescent="0.4">
      <c r="O1017" s="6"/>
    </row>
    <row r="1018" spans="15:15" x14ac:dyDescent="0.4">
      <c r="O1018" s="6"/>
    </row>
    <row r="1019" spans="15:15" x14ac:dyDescent="0.4">
      <c r="O1019" s="6"/>
    </row>
    <row r="1020" spans="15:15" x14ac:dyDescent="0.4">
      <c r="O1020" s="6"/>
    </row>
    <row r="1021" spans="15:15" x14ac:dyDescent="0.4">
      <c r="O1021" s="6"/>
    </row>
    <row r="1022" spans="15:15" x14ac:dyDescent="0.4">
      <c r="O1022" s="6"/>
    </row>
    <row r="1023" spans="15:15" x14ac:dyDescent="0.4">
      <c r="O1023" s="6"/>
    </row>
    <row r="1024" spans="15:15" x14ac:dyDescent="0.4">
      <c r="O1024" s="6"/>
    </row>
    <row r="1025" spans="15:15" x14ac:dyDescent="0.4">
      <c r="O1025" s="6"/>
    </row>
    <row r="1026" spans="15:15" x14ac:dyDescent="0.4">
      <c r="O1026" s="6"/>
    </row>
    <row r="1027" spans="15:15" x14ac:dyDescent="0.4">
      <c r="O1027" s="6"/>
    </row>
    <row r="1028" spans="15:15" x14ac:dyDescent="0.4">
      <c r="O1028" s="6"/>
    </row>
    <row r="1029" spans="15:15" x14ac:dyDescent="0.4">
      <c r="O1029" s="6"/>
    </row>
    <row r="1030" spans="15:15" x14ac:dyDescent="0.4">
      <c r="O1030" s="6"/>
    </row>
    <row r="1031" spans="15:15" x14ac:dyDescent="0.4">
      <c r="O1031" s="6"/>
    </row>
    <row r="1032" spans="15:15" x14ac:dyDescent="0.4">
      <c r="O1032" s="6"/>
    </row>
    <row r="1033" spans="15:15" x14ac:dyDescent="0.4">
      <c r="O1033" s="6"/>
    </row>
    <row r="1034" spans="15:15" x14ac:dyDescent="0.4">
      <c r="O1034" s="6"/>
    </row>
    <row r="1035" spans="15:15" x14ac:dyDescent="0.4">
      <c r="O1035" s="6"/>
    </row>
    <row r="1036" spans="15:15" x14ac:dyDescent="0.4">
      <c r="O1036" s="6"/>
    </row>
    <row r="1037" spans="15:15" x14ac:dyDescent="0.4">
      <c r="O1037" s="6"/>
    </row>
    <row r="1038" spans="15:15" x14ac:dyDescent="0.4">
      <c r="O1038" s="6"/>
    </row>
    <row r="1039" spans="15:15" x14ac:dyDescent="0.4">
      <c r="O1039" s="6"/>
    </row>
    <row r="1040" spans="15:15" x14ac:dyDescent="0.4">
      <c r="O1040" s="6"/>
    </row>
    <row r="1041" spans="15:15" x14ac:dyDescent="0.4">
      <c r="O1041" s="6"/>
    </row>
    <row r="1042" spans="15:15" x14ac:dyDescent="0.4">
      <c r="O1042" s="6"/>
    </row>
    <row r="1043" spans="15:15" x14ac:dyDescent="0.4">
      <c r="O1043" s="6"/>
    </row>
    <row r="1044" spans="15:15" x14ac:dyDescent="0.4">
      <c r="O1044" s="6"/>
    </row>
  </sheetData>
  <phoneticPr fontId="1" type="noConversion"/>
  <conditionalFormatting sqref="A255:P1045 A5:M254 O5:P254">
    <cfRule type="expression" dxfId="41" priority="12">
      <formula>MOD(ROW(),2)=1</formula>
    </cfRule>
    <cfRule type="expression" dxfId="40" priority="10">
      <formula>MOD(ROW(),2)=0</formula>
    </cfRule>
  </conditionalFormatting>
  <conditionalFormatting sqref="E5:F5 E7:F104">
    <cfRule type="notContainsBlanks" dxfId="39" priority="11">
      <formula>LEN(TRIM(E5))&gt;0</formula>
    </cfRule>
  </conditionalFormatting>
  <conditionalFormatting sqref="O5:O12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5:V1044 S5:U254">
    <cfRule type="expression" dxfId="38" priority="9">
      <formula>MOD(ROW(),2)=1</formula>
    </cfRule>
  </conditionalFormatting>
  <conditionalFormatting sqref="I105:J127 I5:K104">
    <cfRule type="notContainsBlanks" dxfId="37" priority="7">
      <formula>LEN(TRIM(I5))&gt;0</formula>
    </cfRule>
  </conditionalFormatting>
  <conditionalFormatting sqref="B5:B1045">
    <cfRule type="containsText" dxfId="36" priority="5" operator="containsText" text="sit">
      <formula>NOT(ISERROR(SEARCH("sit",B5)))</formula>
    </cfRule>
    <cfRule type="containsText" dxfId="35" priority="3" operator="containsText" text="pat">
      <formula>NOT(ISERROR(SEARCH("pat",B5)))</formula>
    </cfRule>
    <cfRule type="containsText" dxfId="34" priority="6" operator="containsText" text="extra">
      <formula>NOT(ISERROR(SEARCH("extra",B5)))</formula>
    </cfRule>
    <cfRule type="containsText" dxfId="33" priority="4" operator="containsText" text="jmc">
      <formula>NOT(ISERROR(SEARCH("jmc",B5)))</formula>
    </cfRule>
  </conditionalFormatting>
  <conditionalFormatting sqref="N5:N254">
    <cfRule type="expression" dxfId="32" priority="2">
      <formula>MOD(ROW(),2)=1</formula>
    </cfRule>
  </conditionalFormatting>
  <conditionalFormatting sqref="V5:V254">
    <cfRule type="expression" dxfId="31" priority="1">
      <formula>MOD(ROW(),2)=1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0</xdr:rowOff>
                  </from>
                  <to>
                    <xdr:col>3</xdr:col>
                    <xdr:colOff>2316480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0</xdr:rowOff>
                  </from>
                  <to>
                    <xdr:col>4</xdr:col>
                    <xdr:colOff>259080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0</xdr:rowOff>
                  </from>
                  <to>
                    <xdr:col>3</xdr:col>
                    <xdr:colOff>1417320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6" tint="-0.249977111117893"/>
  </sheetPr>
  <dimension ref="A1:V1044"/>
  <sheetViews>
    <sheetView showGridLines="0" zoomScale="85" zoomScaleNormal="85" workbookViewId="0">
      <pane ySplit="4" topLeftCell="A35" activePane="bottomLeft" state="frozen"/>
      <selection pane="bottomLeft" activeCell="C40" sqref="C40"/>
    </sheetView>
  </sheetViews>
  <sheetFormatPr defaultRowHeight="17.399999999999999" x14ac:dyDescent="0.4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24" customFormat="1" x14ac:dyDescent="0.4">
      <c r="A1" s="23" t="s">
        <v>241</v>
      </c>
      <c r="B1" s="24" t="s">
        <v>141</v>
      </c>
      <c r="C1" s="24" t="s">
        <v>142</v>
      </c>
      <c r="F1" s="25"/>
      <c r="G1" s="26"/>
      <c r="L1" s="1" t="s">
        <v>234</v>
      </c>
      <c r="M1" s="1"/>
      <c r="N1" s="1"/>
      <c r="O1" s="27">
        <f>IFERROR(SUM(L:L)/SUM(N:N),"")</f>
        <v>0.68888888888888888</v>
      </c>
      <c r="S1" s="29" t="s">
        <v>240</v>
      </c>
    </row>
    <row r="2" spans="1:22" s="24" customFormat="1" x14ac:dyDescent="0.4">
      <c r="B2" s="24" t="s">
        <v>143</v>
      </c>
      <c r="C2" s="24" t="s">
        <v>144</v>
      </c>
      <c r="L2" s="1" t="s">
        <v>235</v>
      </c>
      <c r="M2" s="1"/>
      <c r="N2" s="1"/>
      <c r="O2" s="28">
        <v>66</v>
      </c>
      <c r="S2" s="1" t="s">
        <v>242</v>
      </c>
      <c r="T2" s="30">
        <v>42532</v>
      </c>
    </row>
    <row r="3" spans="1:22" s="24" customFormat="1" x14ac:dyDescent="0.4">
      <c r="B3" s="25"/>
      <c r="C3" s="25"/>
      <c r="S3" s="1" t="s">
        <v>239</v>
      </c>
      <c r="T3" s="30">
        <f ca="1">TODAY()</f>
        <v>42704</v>
      </c>
      <c r="U3" s="31" t="str">
        <f ca="1">NETWORKDAYS(T2-1,T3)&amp;"일째"</f>
        <v>124일째</v>
      </c>
      <c r="V3" s="32" t="str">
        <f ca="1">ROUNDUP(SUM(U5:U249)/NETWORKDAYS(T2-1,T3),0)&amp;"개/1일"</f>
        <v>1개/1일</v>
      </c>
    </row>
    <row r="4" spans="1:22" x14ac:dyDescent="0.4">
      <c r="A4" s="3" t="s">
        <v>1</v>
      </c>
      <c r="B4" s="4" t="s">
        <v>2</v>
      </c>
      <c r="C4" s="4" t="s">
        <v>130</v>
      </c>
      <c r="D4" s="4" t="s">
        <v>132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 x14ac:dyDescent="0.4">
      <c r="A5">
        <v>1</v>
      </c>
      <c r="B5" s="20" t="s">
        <v>520</v>
      </c>
      <c r="C5" s="22" t="s">
        <v>535</v>
      </c>
      <c r="D5" s="21" t="s">
        <v>536</v>
      </c>
      <c r="E5" s="5"/>
      <c r="I5" t="s">
        <v>563</v>
      </c>
      <c r="L5">
        <v>4</v>
      </c>
      <c r="M5">
        <v>1</v>
      </c>
      <c r="N5">
        <f>IFERROR(IF(L5+M5=0,"",L5+M5),"")</f>
        <v>5</v>
      </c>
      <c r="O5" s="6">
        <f t="shared" ref="O5:O68" si="0">IFERROR(L5/(M5+L5),"")</f>
        <v>0.8</v>
      </c>
      <c r="P5">
        <v>101.95538330078125</v>
      </c>
      <c r="S5">
        <v>1</v>
      </c>
      <c r="T5" s="13">
        <v>42532</v>
      </c>
      <c r="U5">
        <v>24</v>
      </c>
      <c r="V5">
        <f>IF(U5&gt;0,SUM($U$5:U5),"")</f>
        <v>24</v>
      </c>
    </row>
    <row r="6" spans="1:22" x14ac:dyDescent="0.4">
      <c r="A6">
        <v>2</v>
      </c>
      <c r="B6" s="20" t="s">
        <v>520</v>
      </c>
      <c r="C6" s="9" t="s">
        <v>537</v>
      </c>
      <c r="D6" t="s">
        <v>545</v>
      </c>
      <c r="I6" t="s">
        <v>563</v>
      </c>
      <c r="L6">
        <v>3</v>
      </c>
      <c r="M6">
        <v>5</v>
      </c>
      <c r="N6">
        <f t="shared" ref="N6:N69" si="1">IFERROR(IF(L6+M6=0,"",L6+M6),"")</f>
        <v>8</v>
      </c>
      <c r="O6" s="6">
        <f t="shared" si="0"/>
        <v>0.375</v>
      </c>
      <c r="P6">
        <v>134.46536254882812</v>
      </c>
      <c r="S6">
        <v>2</v>
      </c>
      <c r="T6" s="13"/>
      <c r="V6" t="str">
        <f>IF(U6&gt;0,SUM($U$5:U6),"")</f>
        <v/>
      </c>
    </row>
    <row r="7" spans="1:22" x14ac:dyDescent="0.4">
      <c r="A7">
        <v>3</v>
      </c>
      <c r="B7" s="20" t="s">
        <v>520</v>
      </c>
      <c r="C7" s="9" t="s">
        <v>538</v>
      </c>
      <c r="D7" t="s">
        <v>539</v>
      </c>
      <c r="E7" s="5"/>
      <c r="F7" s="5"/>
      <c r="I7" t="s">
        <v>563</v>
      </c>
      <c r="L7">
        <v>3</v>
      </c>
      <c r="N7">
        <f t="shared" si="1"/>
        <v>3</v>
      </c>
      <c r="O7" s="6">
        <f t="shared" si="0"/>
        <v>1</v>
      </c>
      <c r="P7">
        <v>88.003082275390625</v>
      </c>
      <c r="S7">
        <v>3</v>
      </c>
      <c r="T7" s="13"/>
      <c r="V7" t="str">
        <f>IF(U7&gt;0,SUM($U$5:U7),"")</f>
        <v/>
      </c>
    </row>
    <row r="8" spans="1:22" x14ac:dyDescent="0.4">
      <c r="A8">
        <v>4</v>
      </c>
      <c r="B8" s="20" t="s">
        <v>520</v>
      </c>
      <c r="C8" s="9" t="s">
        <v>540</v>
      </c>
      <c r="D8" t="s">
        <v>541</v>
      </c>
      <c r="E8" s="5"/>
      <c r="I8" t="s">
        <v>563</v>
      </c>
      <c r="L8">
        <v>3</v>
      </c>
      <c r="N8">
        <f t="shared" si="1"/>
        <v>3</v>
      </c>
      <c r="O8" s="6">
        <f t="shared" si="0"/>
        <v>1</v>
      </c>
      <c r="P8">
        <v>100.43838500976562</v>
      </c>
      <c r="S8">
        <v>4</v>
      </c>
      <c r="T8" s="13"/>
      <c r="V8" t="str">
        <f>IF(U8&gt;0,SUM($U$5:U8),"")</f>
        <v/>
      </c>
    </row>
    <row r="9" spans="1:22" x14ac:dyDescent="0.4">
      <c r="A9">
        <v>5</v>
      </c>
      <c r="B9" s="20" t="s">
        <v>520</v>
      </c>
      <c r="C9" s="9" t="s">
        <v>542</v>
      </c>
      <c r="D9" t="s">
        <v>544</v>
      </c>
      <c r="E9" s="5"/>
      <c r="I9" t="s">
        <v>563</v>
      </c>
      <c r="L9">
        <v>3</v>
      </c>
      <c r="N9">
        <f t="shared" si="1"/>
        <v>3</v>
      </c>
      <c r="O9" s="6">
        <f t="shared" si="0"/>
        <v>1</v>
      </c>
      <c r="P9">
        <v>118.78005981445312</v>
      </c>
      <c r="S9">
        <v>5</v>
      </c>
      <c r="T9" s="13"/>
      <c r="V9" t="str">
        <f>IF(U9&gt;0,SUM($U$5:U9),"")</f>
        <v/>
      </c>
    </row>
    <row r="10" spans="1:22" x14ac:dyDescent="0.4">
      <c r="A10">
        <v>6</v>
      </c>
      <c r="B10" s="20" t="s">
        <v>520</v>
      </c>
      <c r="C10" s="9" t="s">
        <v>543</v>
      </c>
      <c r="D10" t="s">
        <v>546</v>
      </c>
      <c r="E10" s="5"/>
      <c r="I10" t="s">
        <v>563</v>
      </c>
      <c r="L10">
        <v>3</v>
      </c>
      <c r="M10">
        <v>2</v>
      </c>
      <c r="N10">
        <f t="shared" si="1"/>
        <v>5</v>
      </c>
      <c r="O10" s="6">
        <f t="shared" si="0"/>
        <v>0.6</v>
      </c>
      <c r="P10">
        <v>114.738037109375</v>
      </c>
      <c r="S10">
        <v>6</v>
      </c>
      <c r="T10" s="13"/>
      <c r="V10" t="str">
        <f>IF(U10&gt;0,SUM($U$5:U10),"")</f>
        <v/>
      </c>
    </row>
    <row r="11" spans="1:22" x14ac:dyDescent="0.4">
      <c r="A11">
        <v>7</v>
      </c>
      <c r="B11" s="20" t="s">
        <v>547</v>
      </c>
      <c r="C11" s="9" t="s">
        <v>548</v>
      </c>
      <c r="D11" t="s">
        <v>549</v>
      </c>
      <c r="E11" s="5"/>
      <c r="I11" t="s">
        <v>563</v>
      </c>
      <c r="L11">
        <v>3</v>
      </c>
      <c r="N11">
        <f t="shared" si="1"/>
        <v>3</v>
      </c>
      <c r="O11" s="6">
        <f t="shared" si="0"/>
        <v>1</v>
      </c>
      <c r="P11">
        <v>125.891845703125</v>
      </c>
      <c r="S11">
        <v>7</v>
      </c>
      <c r="T11" s="13"/>
      <c r="V11" t="str">
        <f>IF(U11&gt;0,SUM($U$5:U11),"")</f>
        <v/>
      </c>
    </row>
    <row r="12" spans="1:22" x14ac:dyDescent="0.4">
      <c r="A12">
        <v>8</v>
      </c>
      <c r="B12" s="20" t="s">
        <v>520</v>
      </c>
      <c r="C12" s="9" t="s">
        <v>550</v>
      </c>
      <c r="D12" t="s">
        <v>551</v>
      </c>
      <c r="E12" s="5"/>
      <c r="I12" t="s">
        <v>563</v>
      </c>
      <c r="L12">
        <v>3</v>
      </c>
      <c r="N12">
        <f t="shared" si="1"/>
        <v>3</v>
      </c>
      <c r="O12" s="6">
        <f t="shared" si="0"/>
        <v>1</v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 x14ac:dyDescent="0.4">
      <c r="A13">
        <v>9</v>
      </c>
      <c r="B13" s="20" t="s">
        <v>520</v>
      </c>
      <c r="C13" s="9" t="s">
        <v>552</v>
      </c>
      <c r="D13" t="s">
        <v>553</v>
      </c>
      <c r="E13" s="5"/>
      <c r="I13" t="s">
        <v>563</v>
      </c>
      <c r="L13">
        <v>3</v>
      </c>
      <c r="N13">
        <f t="shared" si="1"/>
        <v>3</v>
      </c>
      <c r="O13" s="6">
        <f t="shared" si="0"/>
        <v>1</v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 x14ac:dyDescent="0.4">
      <c r="A14">
        <v>10</v>
      </c>
      <c r="B14" s="20" t="s">
        <v>520</v>
      </c>
      <c r="C14" s="9" t="s">
        <v>564</v>
      </c>
      <c r="D14" t="s">
        <v>554</v>
      </c>
      <c r="E14" s="5"/>
      <c r="I14" t="s">
        <v>563</v>
      </c>
      <c r="L14">
        <v>3</v>
      </c>
      <c r="N14">
        <f t="shared" si="1"/>
        <v>3</v>
      </c>
      <c r="O14" s="6">
        <f t="shared" si="0"/>
        <v>1</v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 x14ac:dyDescent="0.4">
      <c r="A15">
        <v>11</v>
      </c>
      <c r="B15" s="20" t="s">
        <v>547</v>
      </c>
      <c r="C15" s="9" t="s">
        <v>555</v>
      </c>
      <c r="D15" t="s">
        <v>556</v>
      </c>
      <c r="E15" s="5"/>
      <c r="I15" t="s">
        <v>563</v>
      </c>
      <c r="L15">
        <v>3</v>
      </c>
      <c r="M15">
        <v>3</v>
      </c>
      <c r="N15">
        <f t="shared" si="1"/>
        <v>6</v>
      </c>
      <c r="O15" s="6">
        <f t="shared" si="0"/>
        <v>0.5</v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 x14ac:dyDescent="0.4">
      <c r="A16">
        <v>12</v>
      </c>
      <c r="B16" s="20" t="s">
        <v>547</v>
      </c>
      <c r="C16" s="9" t="s">
        <v>557</v>
      </c>
      <c r="D16" t="s">
        <v>558</v>
      </c>
      <c r="E16" s="5"/>
      <c r="I16" t="s">
        <v>563</v>
      </c>
      <c r="L16">
        <v>3</v>
      </c>
      <c r="N16">
        <f t="shared" si="1"/>
        <v>3</v>
      </c>
      <c r="O16" s="6">
        <f t="shared" si="0"/>
        <v>1</v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 x14ac:dyDescent="0.4">
      <c r="A17">
        <v>13</v>
      </c>
      <c r="B17" s="20" t="s">
        <v>547</v>
      </c>
      <c r="C17" s="9" t="s">
        <v>559</v>
      </c>
      <c r="D17" t="s">
        <v>562</v>
      </c>
      <c r="E17" s="5"/>
      <c r="I17" t="s">
        <v>563</v>
      </c>
      <c r="L17">
        <v>3</v>
      </c>
      <c r="M17">
        <v>3</v>
      </c>
      <c r="N17">
        <f t="shared" si="1"/>
        <v>6</v>
      </c>
      <c r="O17" s="6">
        <f t="shared" si="0"/>
        <v>0.5</v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 x14ac:dyDescent="0.4">
      <c r="A18">
        <v>14</v>
      </c>
      <c r="B18" s="20" t="s">
        <v>547</v>
      </c>
      <c r="C18" s="9" t="s">
        <v>560</v>
      </c>
      <c r="D18" t="s">
        <v>561</v>
      </c>
      <c r="E18" s="5"/>
      <c r="I18" t="s">
        <v>563</v>
      </c>
      <c r="L18">
        <v>3</v>
      </c>
      <c r="M18">
        <v>1</v>
      </c>
      <c r="N18">
        <f t="shared" si="1"/>
        <v>4</v>
      </c>
      <c r="O18" s="6">
        <f t="shared" si="0"/>
        <v>0.75</v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 x14ac:dyDescent="0.4">
      <c r="A19">
        <v>15</v>
      </c>
      <c r="B19" s="20" t="s">
        <v>565</v>
      </c>
      <c r="C19" s="9" t="s">
        <v>566</v>
      </c>
      <c r="D19" t="s">
        <v>567</v>
      </c>
      <c r="E19" s="5"/>
      <c r="L19">
        <v>1</v>
      </c>
      <c r="N19">
        <f t="shared" si="1"/>
        <v>1</v>
      </c>
      <c r="O19" s="6">
        <f t="shared" si="0"/>
        <v>1</v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 x14ac:dyDescent="0.4">
      <c r="A20">
        <v>16</v>
      </c>
      <c r="B20" s="20" t="s">
        <v>573</v>
      </c>
      <c r="C20" s="9" t="s">
        <v>569</v>
      </c>
      <c r="D20" t="s">
        <v>568</v>
      </c>
      <c r="E20" s="5"/>
      <c r="L20">
        <v>1</v>
      </c>
      <c r="N20">
        <f t="shared" si="1"/>
        <v>1</v>
      </c>
      <c r="O20" s="6">
        <f t="shared" si="0"/>
        <v>1</v>
      </c>
      <c r="P20">
        <v>84.76708984375</v>
      </c>
      <c r="S20">
        <v>16</v>
      </c>
      <c r="T20" s="13"/>
      <c r="V20" t="str">
        <f>IF(U20&gt;0,SUM($U$5:U20),"")</f>
        <v/>
      </c>
    </row>
    <row r="21" spans="1:22" x14ac:dyDescent="0.4">
      <c r="A21">
        <v>17</v>
      </c>
      <c r="B21" s="20" t="s">
        <v>570</v>
      </c>
      <c r="C21" s="9" t="s">
        <v>571</v>
      </c>
      <c r="D21" t="s">
        <v>572</v>
      </c>
      <c r="E21" s="5"/>
      <c r="L21">
        <v>1</v>
      </c>
      <c r="M21">
        <v>1</v>
      </c>
      <c r="N21">
        <f t="shared" si="1"/>
        <v>2</v>
      </c>
      <c r="O21" s="6">
        <f t="shared" si="0"/>
        <v>0.5</v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 x14ac:dyDescent="0.4">
      <c r="A22">
        <v>18</v>
      </c>
      <c r="B22" s="20" t="s">
        <v>574</v>
      </c>
      <c r="C22" s="33" t="s">
        <v>575</v>
      </c>
      <c r="D22" t="s">
        <v>576</v>
      </c>
      <c r="E22" s="5"/>
      <c r="L22">
        <v>1</v>
      </c>
      <c r="N22">
        <f t="shared" si="1"/>
        <v>1</v>
      </c>
      <c r="O22" s="6">
        <f t="shared" si="0"/>
        <v>1</v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 x14ac:dyDescent="0.4">
      <c r="A23">
        <v>19</v>
      </c>
      <c r="B23" s="20" t="s">
        <v>574</v>
      </c>
      <c r="C23" s="9" t="s">
        <v>577</v>
      </c>
      <c r="D23" t="s">
        <v>578</v>
      </c>
      <c r="E23" s="5"/>
      <c r="L23">
        <v>1</v>
      </c>
      <c r="M23">
        <v>1</v>
      </c>
      <c r="N23">
        <f t="shared" si="1"/>
        <v>2</v>
      </c>
      <c r="O23" s="6">
        <f t="shared" si="0"/>
        <v>0.5</v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 x14ac:dyDescent="0.4">
      <c r="A24">
        <v>20</v>
      </c>
      <c r="B24" s="20" t="s">
        <v>574</v>
      </c>
      <c r="C24" s="9" t="s">
        <v>579</v>
      </c>
      <c r="D24" t="s">
        <v>580</v>
      </c>
      <c r="E24" s="5"/>
      <c r="L24">
        <v>1</v>
      </c>
      <c r="M24">
        <v>1</v>
      </c>
      <c r="N24">
        <f t="shared" si="1"/>
        <v>2</v>
      </c>
      <c r="O24" s="6">
        <f t="shared" si="0"/>
        <v>0.5</v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 x14ac:dyDescent="0.4">
      <c r="A25">
        <v>21</v>
      </c>
      <c r="B25" s="20" t="s">
        <v>574</v>
      </c>
      <c r="C25" s="9" t="s">
        <v>581</v>
      </c>
      <c r="D25" t="s">
        <v>582</v>
      </c>
      <c r="E25" s="5"/>
      <c r="L25">
        <v>1</v>
      </c>
      <c r="N25">
        <f t="shared" si="1"/>
        <v>1</v>
      </c>
      <c r="O25" s="6">
        <f t="shared" si="0"/>
        <v>1</v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 x14ac:dyDescent="0.4">
      <c r="A26">
        <v>22</v>
      </c>
      <c r="B26" s="20" t="s">
        <v>574</v>
      </c>
      <c r="C26" s="9" t="s">
        <v>583</v>
      </c>
      <c r="D26" t="s">
        <v>584</v>
      </c>
      <c r="E26" s="5"/>
      <c r="L26">
        <v>1</v>
      </c>
      <c r="M26">
        <v>1</v>
      </c>
      <c r="N26">
        <f t="shared" si="1"/>
        <v>2</v>
      </c>
      <c r="O26" s="6">
        <f t="shared" si="0"/>
        <v>0.5</v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 x14ac:dyDescent="0.4">
      <c r="A27">
        <v>23</v>
      </c>
      <c r="B27" s="20" t="s">
        <v>574</v>
      </c>
      <c r="C27" s="9" t="s">
        <v>585</v>
      </c>
      <c r="D27" t="s">
        <v>586</v>
      </c>
      <c r="E27" s="5"/>
      <c r="L27">
        <v>1</v>
      </c>
      <c r="N27">
        <f t="shared" si="1"/>
        <v>1</v>
      </c>
      <c r="O27" s="6">
        <f t="shared" si="0"/>
        <v>1</v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 x14ac:dyDescent="0.4">
      <c r="A28">
        <v>24</v>
      </c>
      <c r="B28" s="20" t="s">
        <v>574</v>
      </c>
      <c r="C28" s="9" t="s">
        <v>587</v>
      </c>
      <c r="D28" t="s">
        <v>588</v>
      </c>
      <c r="E28" s="5"/>
      <c r="L28">
        <v>1</v>
      </c>
      <c r="N28">
        <f t="shared" si="1"/>
        <v>1</v>
      </c>
      <c r="O28" s="6">
        <f t="shared" si="0"/>
        <v>1</v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 x14ac:dyDescent="0.4">
      <c r="A29">
        <v>25</v>
      </c>
      <c r="B29" s="20" t="s">
        <v>574</v>
      </c>
      <c r="C29" s="33" t="s">
        <v>589</v>
      </c>
      <c r="D29" t="s">
        <v>590</v>
      </c>
      <c r="E29" s="5"/>
      <c r="L29">
        <v>1</v>
      </c>
      <c r="M29">
        <v>1</v>
      </c>
      <c r="N29">
        <f t="shared" si="1"/>
        <v>2</v>
      </c>
      <c r="O29" s="6">
        <f t="shared" si="0"/>
        <v>0.5</v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 x14ac:dyDescent="0.4">
      <c r="A30">
        <v>26</v>
      </c>
      <c r="B30" s="20" t="s">
        <v>574</v>
      </c>
      <c r="C30" s="9" t="s">
        <v>591</v>
      </c>
      <c r="D30" t="s">
        <v>592</v>
      </c>
      <c r="E30" s="5"/>
      <c r="L30">
        <v>1</v>
      </c>
      <c r="M30">
        <v>1</v>
      </c>
      <c r="N30">
        <f t="shared" si="1"/>
        <v>2</v>
      </c>
      <c r="O30" s="6">
        <f t="shared" si="0"/>
        <v>0.5</v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 x14ac:dyDescent="0.4">
      <c r="A31">
        <v>27</v>
      </c>
      <c r="B31" s="20" t="s">
        <v>574</v>
      </c>
      <c r="C31" s="9" t="s">
        <v>593</v>
      </c>
      <c r="D31" t="s">
        <v>594</v>
      </c>
      <c r="E31" s="5"/>
      <c r="L31">
        <v>1</v>
      </c>
      <c r="N31">
        <f t="shared" si="1"/>
        <v>1</v>
      </c>
      <c r="O31" s="6">
        <f t="shared" si="0"/>
        <v>1</v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 x14ac:dyDescent="0.4">
      <c r="A32">
        <v>28</v>
      </c>
      <c r="B32" s="20" t="s">
        <v>574</v>
      </c>
      <c r="C32" s="9" t="s">
        <v>595</v>
      </c>
      <c r="D32" t="s">
        <v>596</v>
      </c>
      <c r="E32" s="5"/>
      <c r="L32">
        <v>1</v>
      </c>
      <c r="M32">
        <v>1</v>
      </c>
      <c r="N32">
        <f t="shared" si="1"/>
        <v>2</v>
      </c>
      <c r="O32" s="6">
        <f t="shared" si="0"/>
        <v>0.5</v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 x14ac:dyDescent="0.4">
      <c r="A33">
        <v>29</v>
      </c>
      <c r="B33" s="20" t="s">
        <v>574</v>
      </c>
      <c r="C33" s="9" t="s">
        <v>597</v>
      </c>
      <c r="D33" t="s">
        <v>598</v>
      </c>
      <c r="E33" s="5"/>
      <c r="L33">
        <v>1</v>
      </c>
      <c r="M33">
        <v>2</v>
      </c>
      <c r="N33">
        <f t="shared" si="1"/>
        <v>3</v>
      </c>
      <c r="O33" s="6">
        <f t="shared" si="0"/>
        <v>0.33333333333333331</v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 x14ac:dyDescent="0.4">
      <c r="A34">
        <v>30</v>
      </c>
      <c r="B34" s="20" t="s">
        <v>574</v>
      </c>
      <c r="C34" s="9" t="s">
        <v>640</v>
      </c>
      <c r="D34" t="s">
        <v>641</v>
      </c>
      <c r="E34" s="5"/>
      <c r="L34">
        <v>1</v>
      </c>
      <c r="M34">
        <v>1</v>
      </c>
      <c r="N34">
        <f t="shared" si="1"/>
        <v>2</v>
      </c>
      <c r="O34" s="6">
        <f t="shared" si="0"/>
        <v>0.5</v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 x14ac:dyDescent="0.4">
      <c r="A35">
        <v>31</v>
      </c>
      <c r="B35" s="20" t="s">
        <v>574</v>
      </c>
      <c r="C35" s="9" t="s">
        <v>599</v>
      </c>
      <c r="D35" t="s">
        <v>600</v>
      </c>
      <c r="E35" s="5"/>
      <c r="L35">
        <v>1</v>
      </c>
      <c r="N35">
        <f t="shared" si="1"/>
        <v>1</v>
      </c>
      <c r="O35" s="6">
        <f t="shared" si="0"/>
        <v>1</v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 x14ac:dyDescent="0.4">
      <c r="A36">
        <v>32</v>
      </c>
      <c r="B36" s="20" t="s">
        <v>574</v>
      </c>
      <c r="C36" s="9" t="s">
        <v>601</v>
      </c>
      <c r="D36" t="s">
        <v>602</v>
      </c>
      <c r="E36" s="5"/>
      <c r="L36">
        <v>1</v>
      </c>
      <c r="M36">
        <v>1</v>
      </c>
      <c r="N36">
        <f t="shared" si="1"/>
        <v>2</v>
      </c>
      <c r="O36" s="6">
        <f t="shared" si="0"/>
        <v>0.5</v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 x14ac:dyDescent="0.4">
      <c r="A37">
        <v>33</v>
      </c>
      <c r="B37" s="20" t="s">
        <v>574</v>
      </c>
      <c r="C37" s="9" t="s">
        <v>603</v>
      </c>
      <c r="D37" t="s">
        <v>604</v>
      </c>
      <c r="E37" s="5"/>
      <c r="L37">
        <v>1</v>
      </c>
      <c r="M37">
        <v>2</v>
      </c>
      <c r="N37">
        <f t="shared" si="1"/>
        <v>3</v>
      </c>
      <c r="O37" s="6">
        <f t="shared" si="0"/>
        <v>0.33333333333333331</v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 x14ac:dyDescent="0.4">
      <c r="A38">
        <v>34</v>
      </c>
      <c r="B38" s="20" t="s">
        <v>574</v>
      </c>
      <c r="C38" s="9" t="s">
        <v>605</v>
      </c>
      <c r="D38" t="s">
        <v>606</v>
      </c>
      <c r="E38" s="5"/>
      <c r="N38" t="str">
        <f t="shared" si="1"/>
        <v/>
      </c>
      <c r="O38" s="6" t="str">
        <f t="shared" si="0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 x14ac:dyDescent="0.4">
      <c r="A39">
        <v>35</v>
      </c>
      <c r="B39" s="20" t="s">
        <v>574</v>
      </c>
      <c r="C39" s="9" t="s">
        <v>608</v>
      </c>
      <c r="D39" t="s">
        <v>607</v>
      </c>
      <c r="E39" s="5"/>
      <c r="N39" t="str">
        <f t="shared" si="1"/>
        <v/>
      </c>
      <c r="O39" s="6" t="str">
        <f t="shared" si="0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 x14ac:dyDescent="0.4">
      <c r="A40">
        <v>36</v>
      </c>
      <c r="B40" s="20" t="s">
        <v>574</v>
      </c>
      <c r="C40" s="9" t="s">
        <v>609</v>
      </c>
      <c r="D40" t="s">
        <v>610</v>
      </c>
      <c r="E40" s="5"/>
      <c r="N40" t="str">
        <f t="shared" si="1"/>
        <v/>
      </c>
      <c r="O40" s="6" t="str">
        <f t="shared" si="0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 x14ac:dyDescent="0.4">
      <c r="A41">
        <v>37</v>
      </c>
      <c r="B41" s="20" t="s">
        <v>611</v>
      </c>
      <c r="C41" s="9" t="s">
        <v>612</v>
      </c>
      <c r="D41" t="s">
        <v>613</v>
      </c>
      <c r="E41" s="5"/>
      <c r="N41" t="str">
        <f t="shared" si="1"/>
        <v/>
      </c>
      <c r="O41" s="6" t="str">
        <f t="shared" si="0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 x14ac:dyDescent="0.4">
      <c r="A42">
        <v>38</v>
      </c>
      <c r="B42" s="20" t="s">
        <v>574</v>
      </c>
      <c r="C42" s="9" t="s">
        <v>614</v>
      </c>
      <c r="D42" t="s">
        <v>615</v>
      </c>
      <c r="E42" s="5"/>
      <c r="N42" t="str">
        <f t="shared" si="1"/>
        <v/>
      </c>
      <c r="O42" s="6" t="str">
        <f t="shared" si="0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 x14ac:dyDescent="0.4">
      <c r="A43">
        <v>39</v>
      </c>
      <c r="B43" s="20" t="s">
        <v>574</v>
      </c>
      <c r="C43" s="9" t="s">
        <v>616</v>
      </c>
      <c r="D43" t="s">
        <v>617</v>
      </c>
      <c r="E43" s="5"/>
      <c r="N43" t="str">
        <f t="shared" si="1"/>
        <v/>
      </c>
      <c r="O43" s="6" t="str">
        <f t="shared" si="0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 x14ac:dyDescent="0.4">
      <c r="A44">
        <v>40</v>
      </c>
      <c r="B44" s="20" t="s">
        <v>574</v>
      </c>
      <c r="C44" s="9" t="s">
        <v>618</v>
      </c>
      <c r="D44" t="s">
        <v>619</v>
      </c>
      <c r="E44" s="5"/>
      <c r="N44" t="str">
        <f t="shared" si="1"/>
        <v/>
      </c>
      <c r="O44" s="6" t="str">
        <f t="shared" si="0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 x14ac:dyDescent="0.4">
      <c r="A45">
        <v>41</v>
      </c>
      <c r="B45" s="20" t="s">
        <v>574</v>
      </c>
      <c r="C45" s="9" t="s">
        <v>620</v>
      </c>
      <c r="D45" t="s">
        <v>621</v>
      </c>
      <c r="E45" s="5"/>
      <c r="N45" t="str">
        <f t="shared" si="1"/>
        <v/>
      </c>
      <c r="O45" s="6" t="str">
        <f t="shared" si="0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 x14ac:dyDescent="0.4">
      <c r="A46">
        <v>42</v>
      </c>
      <c r="B46" s="20" t="s">
        <v>574</v>
      </c>
      <c r="C46" s="9" t="s">
        <v>622</v>
      </c>
      <c r="D46" t="s">
        <v>623</v>
      </c>
      <c r="E46" s="5"/>
      <c r="N46" t="str">
        <f t="shared" si="1"/>
        <v/>
      </c>
      <c r="O46" s="6" t="str">
        <f t="shared" si="0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 x14ac:dyDescent="0.4">
      <c r="A47">
        <v>43</v>
      </c>
      <c r="B47" s="20" t="s">
        <v>574</v>
      </c>
      <c r="C47" s="9" t="s">
        <v>624</v>
      </c>
      <c r="D47" t="s">
        <v>625</v>
      </c>
      <c r="E47" s="5"/>
      <c r="N47" t="str">
        <f t="shared" si="1"/>
        <v/>
      </c>
      <c r="O47" s="6" t="str">
        <f t="shared" si="0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 x14ac:dyDescent="0.4">
      <c r="A48">
        <v>44</v>
      </c>
      <c r="B48" s="20" t="s">
        <v>574</v>
      </c>
      <c r="C48" s="9" t="s">
        <v>627</v>
      </c>
      <c r="D48" t="s">
        <v>626</v>
      </c>
      <c r="E48" s="5"/>
      <c r="N48" t="str">
        <f t="shared" si="1"/>
        <v/>
      </c>
      <c r="O48" s="6" t="str">
        <f t="shared" si="0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 x14ac:dyDescent="0.4">
      <c r="A49">
        <v>45</v>
      </c>
      <c r="B49" s="20" t="s">
        <v>574</v>
      </c>
      <c r="C49" s="9" t="s">
        <v>628</v>
      </c>
      <c r="D49" t="s">
        <v>629</v>
      </c>
      <c r="E49" s="5"/>
      <c r="N49" t="str">
        <f t="shared" si="1"/>
        <v/>
      </c>
      <c r="O49" s="6" t="str">
        <f t="shared" si="0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 x14ac:dyDescent="0.4">
      <c r="A50">
        <v>46</v>
      </c>
      <c r="B50" s="20" t="s">
        <v>574</v>
      </c>
      <c r="C50" s="9" t="s">
        <v>630</v>
      </c>
      <c r="D50" t="s">
        <v>631</v>
      </c>
      <c r="E50" s="5"/>
      <c r="N50" t="str">
        <f t="shared" si="1"/>
        <v/>
      </c>
      <c r="O50" s="6" t="str">
        <f t="shared" si="0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 x14ac:dyDescent="0.4">
      <c r="A51">
        <v>47</v>
      </c>
      <c r="B51" s="20" t="s">
        <v>574</v>
      </c>
      <c r="C51" s="9" t="s">
        <v>632</v>
      </c>
      <c r="D51" t="s">
        <v>633</v>
      </c>
      <c r="E51" s="5"/>
      <c r="N51" t="str">
        <f t="shared" si="1"/>
        <v/>
      </c>
      <c r="O51" s="6" t="str">
        <f t="shared" si="0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 x14ac:dyDescent="0.4">
      <c r="A52">
        <v>48</v>
      </c>
      <c r="B52" s="20" t="s">
        <v>574</v>
      </c>
      <c r="C52" s="9" t="s">
        <v>634</v>
      </c>
      <c r="D52" t="s">
        <v>635</v>
      </c>
      <c r="E52" s="5"/>
      <c r="N52" t="str">
        <f t="shared" si="1"/>
        <v/>
      </c>
      <c r="O52" s="6" t="str">
        <f t="shared" si="0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 x14ac:dyDescent="0.4">
      <c r="A53">
        <v>49</v>
      </c>
      <c r="B53" s="20" t="s">
        <v>574</v>
      </c>
      <c r="C53" s="9" t="s">
        <v>636</v>
      </c>
      <c r="D53" t="s">
        <v>637</v>
      </c>
      <c r="E53" s="5"/>
      <c r="N53" t="str">
        <f t="shared" si="1"/>
        <v/>
      </c>
      <c r="O53" s="6" t="str">
        <f t="shared" si="0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 x14ac:dyDescent="0.4">
      <c r="A54">
        <v>50</v>
      </c>
      <c r="B54" s="20" t="s">
        <v>574</v>
      </c>
      <c r="C54" s="9" t="s">
        <v>639</v>
      </c>
      <c r="D54" t="s">
        <v>638</v>
      </c>
      <c r="E54" s="5"/>
      <c r="N54" t="str">
        <f t="shared" si="1"/>
        <v/>
      </c>
      <c r="O54" s="6" t="str">
        <f t="shared" si="0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 ht="16.5" x14ac:dyDescent="0.3">
      <c r="A55">
        <v>51</v>
      </c>
      <c r="E55" s="5"/>
      <c r="N55" t="str">
        <f t="shared" si="1"/>
        <v/>
      </c>
      <c r="O55" s="6" t="str">
        <f t="shared" si="0"/>
        <v/>
      </c>
      <c r="P55">
        <v>71.315704345703125</v>
      </c>
      <c r="S55">
        <v>51</v>
      </c>
      <c r="V55" t="str">
        <f>IF(U55&gt;0,SUM($U$5:U55),"")</f>
        <v/>
      </c>
    </row>
    <row r="56" spans="1:22" ht="16.5" x14ac:dyDescent="0.3">
      <c r="A56">
        <v>52</v>
      </c>
      <c r="E56" s="5"/>
      <c r="N56" t="str">
        <f t="shared" si="1"/>
        <v/>
      </c>
      <c r="O56" s="6" t="str">
        <f t="shared" si="0"/>
        <v/>
      </c>
      <c r="P56">
        <v>122.39285278320312</v>
      </c>
      <c r="S56">
        <v>52</v>
      </c>
      <c r="V56" t="str">
        <f>IF(U56&gt;0,SUM($U$5:U56),"")</f>
        <v/>
      </c>
    </row>
    <row r="57" spans="1:22" ht="16.5" x14ac:dyDescent="0.3">
      <c r="A57">
        <v>53</v>
      </c>
      <c r="E57" s="5"/>
      <c r="N57" t="str">
        <f t="shared" si="1"/>
        <v/>
      </c>
      <c r="O57" s="6" t="str">
        <f t="shared" si="0"/>
        <v/>
      </c>
      <c r="P57">
        <v>90.881240844726563</v>
      </c>
      <c r="S57">
        <v>53</v>
      </c>
      <c r="V57" t="str">
        <f>IF(U57&gt;0,SUM($U$5:U57),"")</f>
        <v/>
      </c>
    </row>
    <row r="58" spans="1:22" ht="16.5" x14ac:dyDescent="0.3">
      <c r="A58">
        <v>54</v>
      </c>
      <c r="E58" s="5"/>
      <c r="N58" t="str">
        <f t="shared" si="1"/>
        <v/>
      </c>
      <c r="O58" s="6" t="str">
        <f t="shared" si="0"/>
        <v/>
      </c>
      <c r="P58">
        <v>63.768272399902344</v>
      </c>
      <c r="S58">
        <v>54</v>
      </c>
      <c r="V58" t="str">
        <f>IF(U58&gt;0,SUM($U$5:U58),"")</f>
        <v/>
      </c>
    </row>
    <row r="59" spans="1:22" ht="16.5" x14ac:dyDescent="0.3">
      <c r="A59">
        <v>55</v>
      </c>
      <c r="E59" s="5"/>
      <c r="N59" t="str">
        <f t="shared" si="1"/>
        <v/>
      </c>
      <c r="O59" s="6" t="str">
        <f t="shared" si="0"/>
        <v/>
      </c>
      <c r="P59">
        <v>90.789215087890625</v>
      </c>
      <c r="S59">
        <v>55</v>
      </c>
      <c r="V59" t="str">
        <f>IF(U59&gt;0,SUM($U$5:U59),"")</f>
        <v/>
      </c>
    </row>
    <row r="60" spans="1:22" ht="16.5" x14ac:dyDescent="0.3">
      <c r="A60">
        <v>56</v>
      </c>
      <c r="E60" s="5"/>
      <c r="N60" t="str">
        <f t="shared" si="1"/>
        <v/>
      </c>
      <c r="O60" s="6" t="str">
        <f t="shared" si="0"/>
        <v/>
      </c>
      <c r="P60">
        <v>104.42417907714844</v>
      </c>
      <c r="S60">
        <v>56</v>
      </c>
      <c r="V60" t="str">
        <f>IF(U60&gt;0,SUM($U$5:U60),"")</f>
        <v/>
      </c>
    </row>
    <row r="61" spans="1:22" ht="16.5" x14ac:dyDescent="0.3">
      <c r="A61">
        <v>57</v>
      </c>
      <c r="E61" s="5"/>
      <c r="N61" t="str">
        <f t="shared" si="1"/>
        <v/>
      </c>
      <c r="O61" s="6" t="str">
        <f t="shared" si="0"/>
        <v/>
      </c>
      <c r="P61">
        <v>76.130661010742188</v>
      </c>
      <c r="S61">
        <v>57</v>
      </c>
      <c r="V61" t="str">
        <f>IF(U61&gt;0,SUM($U$5:U61),"")</f>
        <v/>
      </c>
    </row>
    <row r="62" spans="1:22" ht="16.5" x14ac:dyDescent="0.3">
      <c r="A62">
        <v>58</v>
      </c>
      <c r="E62" s="5"/>
      <c r="N62" t="str">
        <f t="shared" si="1"/>
        <v/>
      </c>
      <c r="O62" s="6" t="str">
        <f t="shared" si="0"/>
        <v/>
      </c>
      <c r="P62">
        <v>53.323745727539063</v>
      </c>
      <c r="S62">
        <v>58</v>
      </c>
      <c r="V62" t="str">
        <f>IF(U62&gt;0,SUM($U$5:U62),"")</f>
        <v/>
      </c>
    </row>
    <row r="63" spans="1:22" ht="16.5" x14ac:dyDescent="0.3">
      <c r="A63">
        <v>59</v>
      </c>
      <c r="E63" s="5"/>
      <c r="N63" t="str">
        <f t="shared" si="1"/>
        <v/>
      </c>
      <c r="O63" s="6" t="str">
        <f t="shared" si="0"/>
        <v/>
      </c>
      <c r="P63">
        <v>38.363571166992188</v>
      </c>
      <c r="S63">
        <v>59</v>
      </c>
      <c r="V63" t="str">
        <f>IF(U63&gt;0,SUM($U$5:U63),"")</f>
        <v/>
      </c>
    </row>
    <row r="64" spans="1:22" ht="16.5" x14ac:dyDescent="0.3">
      <c r="A64">
        <v>60</v>
      </c>
      <c r="E64" s="5"/>
      <c r="N64" t="str">
        <f t="shared" si="1"/>
        <v/>
      </c>
      <c r="O64" s="6" t="str">
        <f t="shared" si="0"/>
        <v/>
      </c>
      <c r="P64">
        <v>126.18891906738281</v>
      </c>
      <c r="S64">
        <v>60</v>
      </c>
      <c r="V64" t="str">
        <f>IF(U64&gt;0,SUM($U$5:U64),"")</f>
        <v/>
      </c>
    </row>
    <row r="65" spans="1:22" ht="16.5" x14ac:dyDescent="0.3">
      <c r="A65">
        <v>61</v>
      </c>
      <c r="E65" s="5"/>
      <c r="N65" t="str">
        <f t="shared" si="1"/>
        <v/>
      </c>
      <c r="O65" s="6" t="str">
        <f t="shared" si="0"/>
        <v/>
      </c>
      <c r="P65">
        <v>77.706619262695313</v>
      </c>
      <c r="S65">
        <v>61</v>
      </c>
      <c r="V65" t="str">
        <f>IF(U65&gt;0,SUM($U$5:U65),"")</f>
        <v/>
      </c>
    </row>
    <row r="66" spans="1:22" ht="16.5" x14ac:dyDescent="0.3">
      <c r="A66">
        <v>62</v>
      </c>
      <c r="E66" s="5"/>
      <c r="N66" t="str">
        <f t="shared" si="1"/>
        <v/>
      </c>
      <c r="O66" s="6" t="str">
        <f t="shared" si="0"/>
        <v/>
      </c>
      <c r="P66">
        <v>82.95220947265625</v>
      </c>
      <c r="S66">
        <v>62</v>
      </c>
      <c r="V66" t="str">
        <f>IF(U66&gt;0,SUM($U$5:U66),"")</f>
        <v/>
      </c>
    </row>
    <row r="67" spans="1:22" ht="16.5" x14ac:dyDescent="0.3">
      <c r="A67">
        <v>63</v>
      </c>
      <c r="E67" s="5"/>
      <c r="N67" t="str">
        <f t="shared" si="1"/>
        <v/>
      </c>
      <c r="O67" s="6" t="str">
        <f t="shared" si="0"/>
        <v/>
      </c>
      <c r="P67">
        <v>37.274688720703125</v>
      </c>
      <c r="S67">
        <v>63</v>
      </c>
      <c r="V67" t="str">
        <f>IF(U67&gt;0,SUM($U$5:U67),"")</f>
        <v/>
      </c>
    </row>
    <row r="68" spans="1:22" ht="16.5" x14ac:dyDescent="0.3">
      <c r="A68">
        <v>64</v>
      </c>
      <c r="E68" s="5"/>
      <c r="N68" t="str">
        <f t="shared" si="1"/>
        <v/>
      </c>
      <c r="O68" s="6" t="str">
        <f t="shared" si="0"/>
        <v/>
      </c>
      <c r="P68">
        <v>75.523513793945313</v>
      </c>
      <c r="S68">
        <v>64</v>
      </c>
      <c r="V68" t="str">
        <f>IF(U68&gt;0,SUM($U$5:U68),"")</f>
        <v/>
      </c>
    </row>
    <row r="69" spans="1:22" ht="16.5" x14ac:dyDescent="0.3">
      <c r="A69">
        <v>65</v>
      </c>
      <c r="E69" s="5"/>
      <c r="N69" t="str">
        <f t="shared" si="1"/>
        <v/>
      </c>
      <c r="O69" s="6" t="str">
        <f t="shared" ref="O69:O127" si="2">IFERROR(L69/(M69+L69),"")</f>
        <v/>
      </c>
      <c r="P69">
        <v>109.27604675292969</v>
      </c>
      <c r="S69">
        <v>65</v>
      </c>
      <c r="V69" t="str">
        <f>IF(U69&gt;0,SUM($U$5:U69),"")</f>
        <v/>
      </c>
    </row>
    <row r="70" spans="1:22" ht="16.5" x14ac:dyDescent="0.3">
      <c r="A70">
        <v>66</v>
      </c>
      <c r="E70" s="5"/>
      <c r="N70" t="str">
        <f t="shared" ref="N70:N133" si="3">IFERROR(IF(L70+M70=0,"",L70+M70),"")</f>
        <v/>
      </c>
      <c r="O70" s="6" t="str">
        <f t="shared" si="2"/>
        <v/>
      </c>
      <c r="P70">
        <v>68.765701293945313</v>
      </c>
      <c r="S70">
        <v>66</v>
      </c>
      <c r="V70" t="str">
        <f>IF(U70&gt;0,SUM($U$5:U70),"")</f>
        <v/>
      </c>
    </row>
    <row r="71" spans="1:22" x14ac:dyDescent="0.4">
      <c r="A71">
        <v>67</v>
      </c>
      <c r="E71" s="5"/>
      <c r="N71" t="str">
        <f t="shared" si="3"/>
        <v/>
      </c>
      <c r="O71" s="6" t="str">
        <f t="shared" si="2"/>
        <v/>
      </c>
      <c r="P71">
        <v>48.228851318359375</v>
      </c>
      <c r="S71">
        <v>67</v>
      </c>
      <c r="V71" t="str">
        <f>IF(U71&gt;0,SUM($U$5:U71),"")</f>
        <v/>
      </c>
    </row>
    <row r="72" spans="1:22" x14ac:dyDescent="0.4">
      <c r="A72">
        <v>68</v>
      </c>
      <c r="E72" s="5"/>
      <c r="N72" t="str">
        <f t="shared" si="3"/>
        <v/>
      </c>
      <c r="O72" s="6" t="str">
        <f t="shared" si="2"/>
        <v/>
      </c>
      <c r="P72">
        <v>47.903152465820313</v>
      </c>
      <c r="S72">
        <v>68</v>
      </c>
      <c r="V72" t="str">
        <f>IF(U72&gt;0,SUM($U$5:U72),"")</f>
        <v/>
      </c>
    </row>
    <row r="73" spans="1:22" x14ac:dyDescent="0.4">
      <c r="A73">
        <v>69</v>
      </c>
      <c r="E73" s="5"/>
      <c r="N73" t="str">
        <f t="shared" si="3"/>
        <v/>
      </c>
      <c r="O73" s="6" t="str">
        <f t="shared" si="2"/>
        <v/>
      </c>
      <c r="P73">
        <v>81.426986694335938</v>
      </c>
      <c r="S73">
        <v>69</v>
      </c>
      <c r="V73" t="str">
        <f>IF(U73&gt;0,SUM($U$5:U73),"")</f>
        <v/>
      </c>
    </row>
    <row r="74" spans="1:22" x14ac:dyDescent="0.4">
      <c r="A74">
        <v>70</v>
      </c>
      <c r="E74" s="5"/>
      <c r="N74" t="str">
        <f t="shared" si="3"/>
        <v/>
      </c>
      <c r="O74" s="6" t="str">
        <f t="shared" si="2"/>
        <v/>
      </c>
      <c r="P74">
        <v>64.411178588867187</v>
      </c>
      <c r="S74">
        <v>70</v>
      </c>
      <c r="V74" t="str">
        <f>IF(U74&gt;0,SUM($U$5:U74),"")</f>
        <v/>
      </c>
    </row>
    <row r="75" spans="1:22" x14ac:dyDescent="0.4">
      <c r="A75">
        <v>71</v>
      </c>
      <c r="E75" s="5"/>
      <c r="N75" t="str">
        <f t="shared" si="3"/>
        <v/>
      </c>
      <c r="O75" s="6" t="str">
        <f t="shared" si="2"/>
        <v/>
      </c>
      <c r="P75">
        <v>84.8056640625</v>
      </c>
      <c r="S75">
        <v>71</v>
      </c>
      <c r="V75" t="str">
        <f>IF(U75&gt;0,SUM($U$5:U75),"")</f>
        <v/>
      </c>
    </row>
    <row r="76" spans="1:22" x14ac:dyDescent="0.4">
      <c r="A76">
        <v>72</v>
      </c>
      <c r="E76" s="5"/>
      <c r="N76" t="str">
        <f t="shared" si="3"/>
        <v/>
      </c>
      <c r="O76" s="6" t="str">
        <f t="shared" si="2"/>
        <v/>
      </c>
      <c r="P76">
        <v>67.761215209960938</v>
      </c>
      <c r="S76">
        <v>72</v>
      </c>
      <c r="V76" t="str">
        <f>IF(U76&gt;0,SUM($U$5:U76),"")</f>
        <v/>
      </c>
    </row>
    <row r="77" spans="1:22" x14ac:dyDescent="0.4">
      <c r="A77">
        <v>73</v>
      </c>
      <c r="E77" s="5"/>
      <c r="N77" t="str">
        <f t="shared" si="3"/>
        <v/>
      </c>
      <c r="O77" s="6" t="str">
        <f t="shared" si="2"/>
        <v/>
      </c>
      <c r="P77">
        <v>55.019012451171875</v>
      </c>
      <c r="S77">
        <v>73</v>
      </c>
      <c r="V77" t="str">
        <f>IF(U77&gt;0,SUM($U$5:U77),"")</f>
        <v/>
      </c>
    </row>
    <row r="78" spans="1:22" x14ac:dyDescent="0.4">
      <c r="A78">
        <v>74</v>
      </c>
      <c r="E78" s="5"/>
      <c r="N78" t="str">
        <f t="shared" si="3"/>
        <v/>
      </c>
      <c r="O78" s="6" t="str">
        <f t="shared" si="2"/>
        <v/>
      </c>
      <c r="P78">
        <v>49.716873168945313</v>
      </c>
      <c r="S78">
        <v>74</v>
      </c>
      <c r="V78" t="str">
        <f>IF(U78&gt;0,SUM($U$5:U78),"")</f>
        <v/>
      </c>
    </row>
    <row r="79" spans="1:22" x14ac:dyDescent="0.4">
      <c r="A79">
        <v>75</v>
      </c>
      <c r="E79" s="5"/>
      <c r="N79" t="str">
        <f t="shared" si="3"/>
        <v/>
      </c>
      <c r="O79" s="6" t="str">
        <f t="shared" si="2"/>
        <v/>
      </c>
      <c r="P79">
        <v>34.708236694335938</v>
      </c>
      <c r="S79">
        <v>75</v>
      </c>
      <c r="V79" t="str">
        <f>IF(U79&gt;0,SUM($U$5:U79),"")</f>
        <v/>
      </c>
    </row>
    <row r="80" spans="1:22" x14ac:dyDescent="0.4">
      <c r="A80">
        <v>76</v>
      </c>
      <c r="E80" s="5"/>
      <c r="N80" t="str">
        <f t="shared" si="3"/>
        <v/>
      </c>
      <c r="O80" s="6" t="str">
        <f t="shared" si="2"/>
        <v/>
      </c>
      <c r="P80">
        <v>45.437057495117187</v>
      </c>
      <c r="S80">
        <v>76</v>
      </c>
      <c r="V80" t="str">
        <f>IF(U80&gt;0,SUM($U$5:U80),"")</f>
        <v/>
      </c>
    </row>
    <row r="81" spans="1:22" x14ac:dyDescent="0.4">
      <c r="A81">
        <v>77</v>
      </c>
      <c r="E81" s="5"/>
      <c r="N81" t="str">
        <f t="shared" si="3"/>
        <v/>
      </c>
      <c r="O81" s="6" t="str">
        <f t="shared" si="2"/>
        <v/>
      </c>
      <c r="P81">
        <v>99.811508178710938</v>
      </c>
      <c r="S81">
        <v>77</v>
      </c>
      <c r="V81" t="str">
        <f>IF(U81&gt;0,SUM($U$5:U81),"")</f>
        <v/>
      </c>
    </row>
    <row r="82" spans="1:22" x14ac:dyDescent="0.4">
      <c r="A82">
        <v>78</v>
      </c>
      <c r="E82" s="5"/>
      <c r="N82" t="str">
        <f t="shared" si="3"/>
        <v/>
      </c>
      <c r="O82" s="6" t="str">
        <f t="shared" si="2"/>
        <v/>
      </c>
      <c r="P82">
        <v>22.803359985351563</v>
      </c>
      <c r="S82">
        <v>78</v>
      </c>
      <c r="V82" t="str">
        <f>IF(U82&gt;0,SUM($U$5:U82),"")</f>
        <v/>
      </c>
    </row>
    <row r="83" spans="1:22" x14ac:dyDescent="0.4">
      <c r="A83">
        <v>79</v>
      </c>
      <c r="E83" s="5"/>
      <c r="N83" t="str">
        <f t="shared" si="3"/>
        <v/>
      </c>
      <c r="O83" s="6" t="str">
        <f t="shared" si="2"/>
        <v/>
      </c>
      <c r="P83">
        <v>23.5653076171875</v>
      </c>
      <c r="S83">
        <v>79</v>
      </c>
      <c r="V83" t="str">
        <f>IF(U83&gt;0,SUM($U$5:U83),"")</f>
        <v/>
      </c>
    </row>
    <row r="84" spans="1:22" x14ac:dyDescent="0.4">
      <c r="A84">
        <v>80</v>
      </c>
      <c r="E84" s="5"/>
      <c r="N84" t="str">
        <f t="shared" si="3"/>
        <v/>
      </c>
      <c r="O84" s="6" t="str">
        <f t="shared" si="2"/>
        <v/>
      </c>
      <c r="P84">
        <v>56.83306884765625</v>
      </c>
      <c r="S84">
        <v>80</v>
      </c>
      <c r="V84" t="str">
        <f>IF(U84&gt;0,SUM($U$5:U84),"")</f>
        <v/>
      </c>
    </row>
    <row r="85" spans="1:22" x14ac:dyDescent="0.4">
      <c r="A85">
        <v>81</v>
      </c>
      <c r="E85" s="5"/>
      <c r="N85" t="str">
        <f t="shared" si="3"/>
        <v/>
      </c>
      <c r="O85" s="6" t="str">
        <f t="shared" si="2"/>
        <v/>
      </c>
      <c r="P85">
        <v>57.448348999023438</v>
      </c>
      <c r="S85">
        <v>81</v>
      </c>
      <c r="V85" t="str">
        <f>IF(U85&gt;0,SUM($U$5:U85),"")</f>
        <v/>
      </c>
    </row>
    <row r="86" spans="1:22" x14ac:dyDescent="0.4">
      <c r="A86">
        <v>82</v>
      </c>
      <c r="E86" s="5"/>
      <c r="N86" t="str">
        <f t="shared" si="3"/>
        <v/>
      </c>
      <c r="O86" s="6" t="str">
        <f t="shared" si="2"/>
        <v/>
      </c>
      <c r="P86">
        <v>70.331893920898437</v>
      </c>
      <c r="S86">
        <v>82</v>
      </c>
      <c r="V86" t="str">
        <f>IF(U86&gt;0,SUM($U$5:U86),"")</f>
        <v/>
      </c>
    </row>
    <row r="87" spans="1:22" x14ac:dyDescent="0.4">
      <c r="A87">
        <v>83</v>
      </c>
      <c r="E87" s="5"/>
      <c r="N87" t="str">
        <f t="shared" si="3"/>
        <v/>
      </c>
      <c r="O87" s="6" t="str">
        <f t="shared" si="2"/>
        <v/>
      </c>
      <c r="P87">
        <v>95.318939208984375</v>
      </c>
      <c r="S87">
        <v>83</v>
      </c>
      <c r="V87" t="str">
        <f>IF(U87&gt;0,SUM($U$5:U87),"")</f>
        <v/>
      </c>
    </row>
    <row r="88" spans="1:22" x14ac:dyDescent="0.4">
      <c r="A88">
        <v>84</v>
      </c>
      <c r="E88" s="5"/>
      <c r="N88" t="str">
        <f t="shared" si="3"/>
        <v/>
      </c>
      <c r="O88" s="6" t="str">
        <f t="shared" si="2"/>
        <v/>
      </c>
      <c r="P88">
        <v>53.867111206054688</v>
      </c>
      <c r="S88">
        <v>84</v>
      </c>
      <c r="V88" t="str">
        <f>IF(U88&gt;0,SUM($U$5:U88),"")</f>
        <v/>
      </c>
    </row>
    <row r="89" spans="1:22" x14ac:dyDescent="0.4">
      <c r="A89">
        <v>85</v>
      </c>
      <c r="E89" s="5"/>
      <c r="N89" t="str">
        <f t="shared" si="3"/>
        <v/>
      </c>
      <c r="O89" s="6" t="str">
        <f t="shared" si="2"/>
        <v/>
      </c>
      <c r="P89">
        <v>15.866317749023438</v>
      </c>
      <c r="S89">
        <v>85</v>
      </c>
      <c r="V89" t="str">
        <f>IF(U89&gt;0,SUM($U$5:U89),"")</f>
        <v/>
      </c>
    </row>
    <row r="90" spans="1:22" x14ac:dyDescent="0.4">
      <c r="A90">
        <v>86</v>
      </c>
      <c r="E90" s="5"/>
      <c r="N90" t="str">
        <f t="shared" si="3"/>
        <v/>
      </c>
      <c r="O90" s="6" t="str">
        <f t="shared" si="2"/>
        <v/>
      </c>
      <c r="P90">
        <v>43.688583374023438</v>
      </c>
      <c r="S90">
        <v>86</v>
      </c>
      <c r="V90" t="str">
        <f>IF(U90&gt;0,SUM($U$5:U90),"")</f>
        <v/>
      </c>
    </row>
    <row r="91" spans="1:22" x14ac:dyDescent="0.4">
      <c r="A91">
        <v>87</v>
      </c>
      <c r="E91" s="5"/>
      <c r="N91" t="str">
        <f t="shared" si="3"/>
        <v/>
      </c>
      <c r="O91" s="6" t="str">
        <f t="shared" si="2"/>
        <v/>
      </c>
      <c r="P91">
        <v>17.853561401367188</v>
      </c>
      <c r="S91">
        <v>87</v>
      </c>
      <c r="V91" t="str">
        <f>IF(U91&gt;0,SUM($U$5:U91),"")</f>
        <v/>
      </c>
    </row>
    <row r="92" spans="1:22" x14ac:dyDescent="0.4">
      <c r="A92">
        <v>88</v>
      </c>
      <c r="E92" s="5"/>
      <c r="N92" t="str">
        <f t="shared" si="3"/>
        <v/>
      </c>
      <c r="O92" s="6" t="str">
        <f t="shared" si="2"/>
        <v/>
      </c>
      <c r="P92">
        <v>53.906265258789062</v>
      </c>
      <c r="S92">
        <v>88</v>
      </c>
      <c r="V92" t="str">
        <f>IF(U92&gt;0,SUM($U$5:U92),"")</f>
        <v/>
      </c>
    </row>
    <row r="93" spans="1:22" x14ac:dyDescent="0.4">
      <c r="A93">
        <v>89</v>
      </c>
      <c r="E93" s="5"/>
      <c r="N93" t="str">
        <f t="shared" si="3"/>
        <v/>
      </c>
      <c r="O93" s="6" t="str">
        <f t="shared" si="2"/>
        <v/>
      </c>
      <c r="P93">
        <v>71.328262329101562</v>
      </c>
      <c r="S93">
        <v>89</v>
      </c>
      <c r="V93" t="str">
        <f>IF(U93&gt;0,SUM($U$5:U93),"")</f>
        <v/>
      </c>
    </row>
    <row r="94" spans="1:22" x14ac:dyDescent="0.4">
      <c r="A94">
        <v>90</v>
      </c>
      <c r="E94" s="5"/>
      <c r="N94" t="str">
        <f t="shared" si="3"/>
        <v/>
      </c>
      <c r="O94" s="6" t="str">
        <f t="shared" si="2"/>
        <v/>
      </c>
      <c r="P94">
        <v>40.177574157714844</v>
      </c>
      <c r="S94">
        <v>90</v>
      </c>
      <c r="V94" t="str">
        <f>IF(U94&gt;0,SUM($U$5:U94),"")</f>
        <v/>
      </c>
    </row>
    <row r="95" spans="1:22" x14ac:dyDescent="0.4">
      <c r="A95">
        <v>91</v>
      </c>
      <c r="E95" s="5"/>
      <c r="N95" t="str">
        <f t="shared" si="3"/>
        <v/>
      </c>
      <c r="O95" s="6" t="str">
        <f t="shared" si="2"/>
        <v/>
      </c>
      <c r="P95">
        <v>46.741592407226563</v>
      </c>
      <c r="S95">
        <v>91</v>
      </c>
      <c r="V95" t="str">
        <f>IF(U95&gt;0,SUM($U$5:U95),"")</f>
        <v/>
      </c>
    </row>
    <row r="96" spans="1:22" x14ac:dyDescent="0.4">
      <c r="A96">
        <v>92</v>
      </c>
      <c r="E96" s="5"/>
      <c r="N96" t="str">
        <f t="shared" si="3"/>
        <v/>
      </c>
      <c r="O96" s="6" t="str">
        <f t="shared" si="2"/>
        <v/>
      </c>
      <c r="P96">
        <v>49.269256591796875</v>
      </c>
      <c r="S96">
        <v>92</v>
      </c>
      <c r="V96" t="str">
        <f>IF(U96&gt;0,SUM($U$5:U96),"")</f>
        <v/>
      </c>
    </row>
    <row r="97" spans="1:22" x14ac:dyDescent="0.4">
      <c r="A97">
        <v>93</v>
      </c>
      <c r="E97" s="5"/>
      <c r="N97" t="str">
        <f t="shared" si="3"/>
        <v/>
      </c>
      <c r="O97" s="6" t="str">
        <f t="shared" si="2"/>
        <v/>
      </c>
      <c r="P97">
        <v>10.782974243164063</v>
      </c>
      <c r="S97">
        <v>93</v>
      </c>
      <c r="V97" t="str">
        <f>IF(U97&gt;0,SUM($U$5:U97),"")</f>
        <v/>
      </c>
    </row>
    <row r="98" spans="1:22" x14ac:dyDescent="0.4">
      <c r="A98">
        <v>94</v>
      </c>
      <c r="E98" s="5"/>
      <c r="N98" t="str">
        <f t="shared" si="3"/>
        <v/>
      </c>
      <c r="O98" s="6" t="str">
        <f t="shared" si="2"/>
        <v/>
      </c>
      <c r="P98">
        <v>37.645767211914063</v>
      </c>
      <c r="S98">
        <v>94</v>
      </c>
      <c r="V98" t="str">
        <f>IF(U98&gt;0,SUM($U$5:U98),"")</f>
        <v/>
      </c>
    </row>
    <row r="99" spans="1:22" x14ac:dyDescent="0.4">
      <c r="A99">
        <v>95</v>
      </c>
      <c r="E99" s="5"/>
      <c r="N99" t="str">
        <f t="shared" si="3"/>
        <v/>
      </c>
      <c r="O99" s="6" t="str">
        <f t="shared" si="2"/>
        <v/>
      </c>
      <c r="P99">
        <v>3.21563720703125</v>
      </c>
      <c r="S99">
        <v>95</v>
      </c>
      <c r="V99" t="str">
        <f>IF(U99&gt;0,SUM($U$5:U99),"")</f>
        <v/>
      </c>
    </row>
    <row r="100" spans="1:22" x14ac:dyDescent="0.4">
      <c r="A100">
        <v>96</v>
      </c>
      <c r="E100" s="5"/>
      <c r="N100" t="str">
        <f t="shared" si="3"/>
        <v/>
      </c>
      <c r="O100" s="6" t="str">
        <f t="shared" si="2"/>
        <v/>
      </c>
      <c r="P100">
        <v>32.867019653320312</v>
      </c>
      <c r="S100">
        <v>96</v>
      </c>
      <c r="V100" t="str">
        <f>IF(U100&gt;0,SUM($U$5:U100),"")</f>
        <v/>
      </c>
    </row>
    <row r="101" spans="1:22" x14ac:dyDescent="0.4">
      <c r="A101">
        <v>97</v>
      </c>
      <c r="E101" s="5"/>
      <c r="N101" t="str">
        <f t="shared" si="3"/>
        <v/>
      </c>
      <c r="O101" s="6" t="str">
        <f t="shared" si="2"/>
        <v/>
      </c>
      <c r="P101">
        <v>71.332870483398438</v>
      </c>
      <c r="S101">
        <v>97</v>
      </c>
      <c r="V101" t="str">
        <f>IF(U101&gt;0,SUM($U$5:U101),"")</f>
        <v/>
      </c>
    </row>
    <row r="102" spans="1:22" x14ac:dyDescent="0.4">
      <c r="A102">
        <v>98</v>
      </c>
      <c r="E102" s="5"/>
      <c r="N102" t="str">
        <f t="shared" si="3"/>
        <v/>
      </c>
      <c r="O102" s="6" t="str">
        <f t="shared" si="2"/>
        <v/>
      </c>
      <c r="P102">
        <v>64.602890014648437</v>
      </c>
      <c r="S102">
        <v>98</v>
      </c>
      <c r="V102" t="str">
        <f>IF(U102&gt;0,SUM($U$5:U102),"")</f>
        <v/>
      </c>
    </row>
    <row r="103" spans="1:22" x14ac:dyDescent="0.4">
      <c r="A103">
        <v>99</v>
      </c>
      <c r="E103" s="5"/>
      <c r="N103" t="str">
        <f t="shared" si="3"/>
        <v/>
      </c>
      <c r="O103" s="6" t="str">
        <f t="shared" si="2"/>
        <v/>
      </c>
      <c r="P103">
        <v>21.474868774414063</v>
      </c>
      <c r="S103">
        <v>99</v>
      </c>
      <c r="V103" t="str">
        <f>IF(U103&gt;0,SUM($U$5:U103),"")</f>
        <v/>
      </c>
    </row>
    <row r="104" spans="1:22" x14ac:dyDescent="0.4">
      <c r="A104">
        <v>100</v>
      </c>
      <c r="E104" s="5"/>
      <c r="N104" t="str">
        <f t="shared" si="3"/>
        <v/>
      </c>
      <c r="O104" s="6" t="str">
        <f t="shared" si="2"/>
        <v/>
      </c>
      <c r="P104">
        <v>56.342315673828125</v>
      </c>
      <c r="S104">
        <v>100</v>
      </c>
      <c r="V104" t="str">
        <f>IF(U104&gt;0,SUM($U$5:U104),"")</f>
        <v/>
      </c>
    </row>
    <row r="105" spans="1:22" x14ac:dyDescent="0.4">
      <c r="A105">
        <v>101</v>
      </c>
      <c r="N105" t="str">
        <f t="shared" si="3"/>
        <v/>
      </c>
      <c r="O105" s="6" t="str">
        <f t="shared" si="2"/>
        <v/>
      </c>
      <c r="P105">
        <v>38.605972290039063</v>
      </c>
      <c r="S105">
        <v>101</v>
      </c>
      <c r="V105" t="str">
        <f>IF(U105&gt;0,SUM($U$5:U105),"")</f>
        <v/>
      </c>
    </row>
    <row r="106" spans="1:22" x14ac:dyDescent="0.4">
      <c r="A106">
        <v>102</v>
      </c>
      <c r="N106" t="str">
        <f t="shared" si="3"/>
        <v/>
      </c>
      <c r="O106" s="6" t="str">
        <f t="shared" si="2"/>
        <v/>
      </c>
      <c r="P106">
        <v>24.621597290039063</v>
      </c>
      <c r="S106">
        <v>102</v>
      </c>
      <c r="V106" t="str">
        <f>IF(U106&gt;0,SUM($U$5:U106),"")</f>
        <v/>
      </c>
    </row>
    <row r="107" spans="1:22" x14ac:dyDescent="0.4">
      <c r="A107">
        <v>103</v>
      </c>
      <c r="N107" t="str">
        <f t="shared" si="3"/>
        <v/>
      </c>
      <c r="O107" s="6" t="str">
        <f t="shared" si="2"/>
        <v/>
      </c>
      <c r="P107">
        <v>23.099502563476563</v>
      </c>
      <c r="S107">
        <v>103</v>
      </c>
      <c r="V107" t="str">
        <f>IF(U107&gt;0,SUM($U$5:U107),"")</f>
        <v/>
      </c>
    </row>
    <row r="108" spans="1:22" x14ac:dyDescent="0.4">
      <c r="A108">
        <v>104</v>
      </c>
      <c r="N108" t="str">
        <f t="shared" si="3"/>
        <v/>
      </c>
      <c r="O108" s="6" t="str">
        <f t="shared" si="2"/>
        <v/>
      </c>
      <c r="P108">
        <v>49.483978271484375</v>
      </c>
      <c r="S108">
        <v>104</v>
      </c>
      <c r="V108" t="str">
        <f>IF(U108&gt;0,SUM($U$5:U108),"")</f>
        <v/>
      </c>
    </row>
    <row r="109" spans="1:22" x14ac:dyDescent="0.4">
      <c r="A109">
        <v>105</v>
      </c>
      <c r="N109" t="str">
        <f t="shared" si="3"/>
        <v/>
      </c>
      <c r="O109" s="6" t="str">
        <f t="shared" si="2"/>
        <v/>
      </c>
      <c r="P109">
        <v>11.21075439453125</v>
      </c>
      <c r="S109">
        <v>105</v>
      </c>
      <c r="V109" t="str">
        <f>IF(U109&gt;0,SUM($U$5:U109),"")</f>
        <v/>
      </c>
    </row>
    <row r="110" spans="1:22" x14ac:dyDescent="0.4">
      <c r="A110">
        <v>106</v>
      </c>
      <c r="N110" t="str">
        <f t="shared" si="3"/>
        <v/>
      </c>
      <c r="O110" s="6" t="str">
        <f t="shared" si="2"/>
        <v/>
      </c>
      <c r="P110">
        <v>15.408157348632813</v>
      </c>
      <c r="S110">
        <v>106</v>
      </c>
      <c r="V110" t="str">
        <f>IF(U110&gt;0,SUM($U$5:U110),"")</f>
        <v/>
      </c>
    </row>
    <row r="111" spans="1:22" x14ac:dyDescent="0.4">
      <c r="A111">
        <v>107</v>
      </c>
      <c r="N111" t="str">
        <f t="shared" si="3"/>
        <v/>
      </c>
      <c r="O111" s="6" t="str">
        <f t="shared" si="2"/>
        <v/>
      </c>
      <c r="P111">
        <v>36.005859375</v>
      </c>
      <c r="S111">
        <v>107</v>
      </c>
      <c r="V111" t="str">
        <f>IF(U111&gt;0,SUM($U$5:U111),"")</f>
        <v/>
      </c>
    </row>
    <row r="112" spans="1:22" x14ac:dyDescent="0.4">
      <c r="A112">
        <v>108</v>
      </c>
      <c r="N112" t="str">
        <f t="shared" si="3"/>
        <v/>
      </c>
      <c r="O112" s="6" t="str">
        <f t="shared" si="2"/>
        <v/>
      </c>
      <c r="P112">
        <v>35.041946411132813</v>
      </c>
      <c r="S112">
        <v>108</v>
      </c>
      <c r="V112" t="str">
        <f>IF(U112&gt;0,SUM($U$5:U112),"")</f>
        <v/>
      </c>
    </row>
    <row r="113" spans="1:22" x14ac:dyDescent="0.4">
      <c r="A113">
        <v>109</v>
      </c>
      <c r="N113" t="str">
        <f t="shared" si="3"/>
        <v/>
      </c>
      <c r="O113" s="6" t="str">
        <f t="shared" si="2"/>
        <v/>
      </c>
      <c r="P113">
        <v>78.81011962890625</v>
      </c>
      <c r="S113">
        <v>109</v>
      </c>
      <c r="V113" t="str">
        <f>IF(U113&gt;0,SUM($U$5:U113),"")</f>
        <v/>
      </c>
    </row>
    <row r="114" spans="1:22" x14ac:dyDescent="0.4">
      <c r="A114">
        <v>110</v>
      </c>
      <c r="N114" t="str">
        <f t="shared" si="3"/>
        <v/>
      </c>
      <c r="O114" s="6" t="str">
        <f t="shared" si="2"/>
        <v/>
      </c>
      <c r="P114">
        <v>34.670089721679688</v>
      </c>
      <c r="S114">
        <v>110</v>
      </c>
      <c r="V114" t="str">
        <f>IF(U114&gt;0,SUM($U$5:U114),"")</f>
        <v/>
      </c>
    </row>
    <row r="115" spans="1:22" x14ac:dyDescent="0.4">
      <c r="A115">
        <v>111</v>
      </c>
      <c r="N115" t="str">
        <f t="shared" si="3"/>
        <v/>
      </c>
      <c r="O115" s="6" t="str">
        <f t="shared" si="2"/>
        <v/>
      </c>
      <c r="P115">
        <v>17.0068359375</v>
      </c>
      <c r="S115">
        <v>111</v>
      </c>
      <c r="V115" t="str">
        <f>IF(U115&gt;0,SUM($U$5:U115),"")</f>
        <v/>
      </c>
    </row>
    <row r="116" spans="1:22" x14ac:dyDescent="0.4">
      <c r="A116">
        <v>112</v>
      </c>
      <c r="N116" t="str">
        <f t="shared" si="3"/>
        <v/>
      </c>
      <c r="O116" s="6" t="str">
        <f t="shared" si="2"/>
        <v/>
      </c>
      <c r="P116">
        <v>26.162460327148438</v>
      </c>
      <c r="S116">
        <v>112</v>
      </c>
      <c r="V116" t="str">
        <f>IF(U116&gt;0,SUM($U$5:U116),"")</f>
        <v/>
      </c>
    </row>
    <row r="117" spans="1:22" x14ac:dyDescent="0.4">
      <c r="A117">
        <v>113</v>
      </c>
      <c r="N117" t="str">
        <f t="shared" si="3"/>
        <v/>
      </c>
      <c r="O117" s="6" t="str">
        <f t="shared" si="2"/>
        <v/>
      </c>
      <c r="P117">
        <v>33.041778564453125</v>
      </c>
      <c r="S117">
        <v>113</v>
      </c>
      <c r="V117" t="str">
        <f>IF(U117&gt;0,SUM($U$5:U117),"")</f>
        <v/>
      </c>
    </row>
    <row r="118" spans="1:22" x14ac:dyDescent="0.4">
      <c r="A118">
        <v>114</v>
      </c>
      <c r="N118" t="str">
        <f t="shared" si="3"/>
        <v/>
      </c>
      <c r="O118" s="6" t="str">
        <f t="shared" si="2"/>
        <v/>
      </c>
      <c r="P118">
        <v>63.338607788085938</v>
      </c>
      <c r="S118">
        <v>114</v>
      </c>
      <c r="V118" t="str">
        <f>IF(U118&gt;0,SUM($U$5:U118),"")</f>
        <v/>
      </c>
    </row>
    <row r="119" spans="1:22" x14ac:dyDescent="0.4">
      <c r="A119">
        <v>115</v>
      </c>
      <c r="N119" t="str">
        <f t="shared" si="3"/>
        <v/>
      </c>
      <c r="O119" s="6" t="str">
        <f t="shared" si="2"/>
        <v/>
      </c>
      <c r="P119">
        <v>14.439895629882812</v>
      </c>
      <c r="S119">
        <v>115</v>
      </c>
      <c r="V119" t="str">
        <f>IF(U119&gt;0,SUM($U$5:U119),"")</f>
        <v/>
      </c>
    </row>
    <row r="120" spans="1:22" x14ac:dyDescent="0.4">
      <c r="A120">
        <v>116</v>
      </c>
      <c r="N120" t="str">
        <f t="shared" si="3"/>
        <v/>
      </c>
      <c r="O120" s="6" t="str">
        <f t="shared" si="2"/>
        <v/>
      </c>
      <c r="P120">
        <v>75.724319458007812</v>
      </c>
      <c r="S120">
        <v>116</v>
      </c>
      <c r="V120" t="str">
        <f>IF(U120&gt;0,SUM($U$5:U120),"")</f>
        <v/>
      </c>
    </row>
    <row r="121" spans="1:22" x14ac:dyDescent="0.4">
      <c r="A121">
        <v>117</v>
      </c>
      <c r="N121" t="str">
        <f t="shared" si="3"/>
        <v/>
      </c>
      <c r="O121" s="6" t="str">
        <f t="shared" si="2"/>
        <v/>
      </c>
      <c r="P121">
        <v>22.962112426757813</v>
      </c>
      <c r="S121">
        <v>117</v>
      </c>
      <c r="V121" t="str">
        <f>IF(U121&gt;0,SUM($U$5:U121),"")</f>
        <v/>
      </c>
    </row>
    <row r="122" spans="1:22" x14ac:dyDescent="0.4">
      <c r="A122">
        <v>118</v>
      </c>
      <c r="N122" t="str">
        <f t="shared" si="3"/>
        <v/>
      </c>
      <c r="O122" s="6" t="str">
        <f t="shared" si="2"/>
        <v/>
      </c>
      <c r="P122">
        <v>17.963607788085937</v>
      </c>
      <c r="S122">
        <v>118</v>
      </c>
      <c r="V122" t="str">
        <f>IF(U122&gt;0,SUM($U$5:U122),"")</f>
        <v/>
      </c>
    </row>
    <row r="123" spans="1:22" x14ac:dyDescent="0.4">
      <c r="A123">
        <v>119</v>
      </c>
      <c r="N123" t="str">
        <f t="shared" si="3"/>
        <v/>
      </c>
      <c r="O123" s="6" t="str">
        <f t="shared" si="2"/>
        <v/>
      </c>
      <c r="P123">
        <v>45.448944091796875</v>
      </c>
      <c r="S123">
        <v>119</v>
      </c>
      <c r="V123" t="str">
        <f>IF(U123&gt;0,SUM($U$5:U123),"")</f>
        <v/>
      </c>
    </row>
    <row r="124" spans="1:22" x14ac:dyDescent="0.4">
      <c r="A124">
        <v>120</v>
      </c>
      <c r="N124" t="str">
        <f t="shared" si="3"/>
        <v/>
      </c>
      <c r="O124" s="6" t="str">
        <f t="shared" si="2"/>
        <v/>
      </c>
      <c r="P124">
        <v>6.8294219970703125</v>
      </c>
      <c r="S124">
        <v>120</v>
      </c>
      <c r="V124" t="str">
        <f>IF(U124&gt;0,SUM($U$5:U124),"")</f>
        <v/>
      </c>
    </row>
    <row r="125" spans="1:22" x14ac:dyDescent="0.4">
      <c r="A125">
        <v>121</v>
      </c>
      <c r="N125" t="str">
        <f t="shared" si="3"/>
        <v/>
      </c>
      <c r="O125" s="6" t="str">
        <f t="shared" si="2"/>
        <v/>
      </c>
      <c r="P125">
        <v>32.271499633789063</v>
      </c>
      <c r="S125">
        <v>121</v>
      </c>
      <c r="V125" t="str">
        <f>IF(U125&gt;0,SUM($U$5:U125),"")</f>
        <v/>
      </c>
    </row>
    <row r="126" spans="1:22" x14ac:dyDescent="0.4">
      <c r="A126">
        <v>122</v>
      </c>
      <c r="N126" t="str">
        <f t="shared" si="3"/>
        <v/>
      </c>
      <c r="O126" s="6" t="str">
        <f t="shared" si="2"/>
        <v/>
      </c>
      <c r="P126">
        <v>18.0362548828125</v>
      </c>
      <c r="S126">
        <v>122</v>
      </c>
      <c r="V126" t="str">
        <f>IF(U126&gt;0,SUM($U$5:U126),"")</f>
        <v/>
      </c>
    </row>
    <row r="127" spans="1:22" x14ac:dyDescent="0.4">
      <c r="A127">
        <v>123</v>
      </c>
      <c r="N127" t="str">
        <f t="shared" si="3"/>
        <v/>
      </c>
      <c r="O127" s="6" t="str">
        <f t="shared" si="2"/>
        <v/>
      </c>
      <c r="P127">
        <v>21.321624755859375</v>
      </c>
      <c r="S127">
        <v>123</v>
      </c>
      <c r="V127" t="str">
        <f>IF(U127&gt;0,SUM($U$5:U127),"")</f>
        <v/>
      </c>
    </row>
    <row r="128" spans="1:22" x14ac:dyDescent="0.4">
      <c r="A128">
        <v>124</v>
      </c>
      <c r="N128" t="str">
        <f t="shared" si="3"/>
        <v/>
      </c>
      <c r="O128" s="6"/>
      <c r="S128">
        <v>124</v>
      </c>
      <c r="V128" t="str">
        <f>IF(U128&gt;0,SUM($U$5:U128),"")</f>
        <v/>
      </c>
    </row>
    <row r="129" spans="1:22" x14ac:dyDescent="0.4">
      <c r="A129">
        <v>125</v>
      </c>
      <c r="N129" t="str">
        <f t="shared" si="3"/>
        <v/>
      </c>
      <c r="O129" s="6"/>
      <c r="S129">
        <v>125</v>
      </c>
      <c r="V129" t="str">
        <f>IF(U129&gt;0,SUM($U$5:U129),"")</f>
        <v/>
      </c>
    </row>
    <row r="130" spans="1:22" x14ac:dyDescent="0.4">
      <c r="A130">
        <v>126</v>
      </c>
      <c r="N130" t="str">
        <f t="shared" si="3"/>
        <v/>
      </c>
      <c r="O130" s="6"/>
      <c r="S130">
        <v>126</v>
      </c>
      <c r="V130" t="str">
        <f>IF(U130&gt;0,SUM($U$5:U130),"")</f>
        <v/>
      </c>
    </row>
    <row r="131" spans="1:22" x14ac:dyDescent="0.4">
      <c r="A131">
        <v>127</v>
      </c>
      <c r="N131" t="str">
        <f t="shared" si="3"/>
        <v/>
      </c>
      <c r="O131" s="6"/>
      <c r="S131">
        <v>127</v>
      </c>
      <c r="V131" t="str">
        <f>IF(U131&gt;0,SUM($U$5:U131),"")</f>
        <v/>
      </c>
    </row>
    <row r="132" spans="1:22" x14ac:dyDescent="0.4">
      <c r="A132">
        <v>128</v>
      </c>
      <c r="N132" t="str">
        <f t="shared" si="3"/>
        <v/>
      </c>
      <c r="O132" s="6"/>
      <c r="S132">
        <v>128</v>
      </c>
      <c r="V132" t="str">
        <f>IF(U132&gt;0,SUM($U$5:U132),"")</f>
        <v/>
      </c>
    </row>
    <row r="133" spans="1:22" x14ac:dyDescent="0.4">
      <c r="A133">
        <v>129</v>
      </c>
      <c r="N133" t="str">
        <f t="shared" si="3"/>
        <v/>
      </c>
      <c r="O133" s="6"/>
      <c r="S133">
        <v>129</v>
      </c>
      <c r="V133" t="str">
        <f>IF(U133&gt;0,SUM($U$5:U133),"")</f>
        <v/>
      </c>
    </row>
    <row r="134" spans="1:22" x14ac:dyDescent="0.4">
      <c r="A134">
        <v>130</v>
      </c>
      <c r="N134" t="str">
        <f t="shared" ref="N134:N197" si="4">IFERROR(IF(L134+M134=0,"",L134+M134),"")</f>
        <v/>
      </c>
      <c r="O134" s="6"/>
      <c r="S134">
        <v>130</v>
      </c>
      <c r="V134" t="str">
        <f>IF(U134&gt;0,SUM($U$5:U134),"")</f>
        <v/>
      </c>
    </row>
    <row r="135" spans="1:22" x14ac:dyDescent="0.4">
      <c r="A135">
        <v>131</v>
      </c>
      <c r="N135" t="str">
        <f t="shared" si="4"/>
        <v/>
      </c>
      <c r="O135" s="6"/>
      <c r="S135">
        <v>131</v>
      </c>
      <c r="V135" t="str">
        <f>IF(U135&gt;0,SUM($U$5:U135),"")</f>
        <v/>
      </c>
    </row>
    <row r="136" spans="1:22" x14ac:dyDescent="0.4">
      <c r="A136">
        <v>132</v>
      </c>
      <c r="N136" t="str">
        <f t="shared" si="4"/>
        <v/>
      </c>
      <c r="O136" s="6"/>
      <c r="S136">
        <v>132</v>
      </c>
      <c r="V136" t="str">
        <f>IF(U136&gt;0,SUM($U$5:U136),"")</f>
        <v/>
      </c>
    </row>
    <row r="137" spans="1:22" x14ac:dyDescent="0.4">
      <c r="A137">
        <v>133</v>
      </c>
      <c r="N137" t="str">
        <f t="shared" si="4"/>
        <v/>
      </c>
      <c r="O137" s="6"/>
      <c r="S137">
        <v>133</v>
      </c>
      <c r="V137" t="str">
        <f>IF(U137&gt;0,SUM($U$5:U137),"")</f>
        <v/>
      </c>
    </row>
    <row r="138" spans="1:22" x14ac:dyDescent="0.4">
      <c r="A138">
        <v>134</v>
      </c>
      <c r="N138" t="str">
        <f t="shared" si="4"/>
        <v/>
      </c>
      <c r="O138" s="6"/>
      <c r="S138">
        <v>134</v>
      </c>
      <c r="V138" t="str">
        <f>IF(U138&gt;0,SUM($U$5:U138),"")</f>
        <v/>
      </c>
    </row>
    <row r="139" spans="1:22" x14ac:dyDescent="0.4">
      <c r="A139">
        <v>135</v>
      </c>
      <c r="N139" t="str">
        <f t="shared" si="4"/>
        <v/>
      </c>
      <c r="O139" s="6"/>
      <c r="S139">
        <v>135</v>
      </c>
      <c r="V139" t="str">
        <f>IF(U139&gt;0,SUM($U$5:U139),"")</f>
        <v/>
      </c>
    </row>
    <row r="140" spans="1:22" x14ac:dyDescent="0.4">
      <c r="A140">
        <v>136</v>
      </c>
      <c r="N140" t="str">
        <f t="shared" si="4"/>
        <v/>
      </c>
      <c r="O140" s="6"/>
      <c r="S140">
        <v>136</v>
      </c>
      <c r="V140" t="str">
        <f>IF(U140&gt;0,SUM($U$5:U140),"")</f>
        <v/>
      </c>
    </row>
    <row r="141" spans="1:22" x14ac:dyDescent="0.4">
      <c r="A141">
        <v>137</v>
      </c>
      <c r="N141" t="str">
        <f t="shared" si="4"/>
        <v/>
      </c>
      <c r="O141" s="6"/>
      <c r="S141">
        <v>137</v>
      </c>
      <c r="V141" t="str">
        <f>IF(U141&gt;0,SUM($U$5:U141),"")</f>
        <v/>
      </c>
    </row>
    <row r="142" spans="1:22" x14ac:dyDescent="0.4">
      <c r="A142">
        <v>138</v>
      </c>
      <c r="N142" t="str">
        <f t="shared" si="4"/>
        <v/>
      </c>
      <c r="O142" s="6"/>
      <c r="S142">
        <v>138</v>
      </c>
      <c r="V142" t="str">
        <f>IF(U142&gt;0,SUM($U$5:U142),"")</f>
        <v/>
      </c>
    </row>
    <row r="143" spans="1:22" x14ac:dyDescent="0.4">
      <c r="A143">
        <v>139</v>
      </c>
      <c r="N143" t="str">
        <f t="shared" si="4"/>
        <v/>
      </c>
      <c r="O143" s="6"/>
      <c r="S143">
        <v>139</v>
      </c>
      <c r="V143" t="str">
        <f>IF(U143&gt;0,SUM($U$5:U143),"")</f>
        <v/>
      </c>
    </row>
    <row r="144" spans="1:22" x14ac:dyDescent="0.4">
      <c r="A144">
        <v>140</v>
      </c>
      <c r="N144" t="str">
        <f t="shared" si="4"/>
        <v/>
      </c>
      <c r="O144" s="6"/>
      <c r="S144">
        <v>140</v>
      </c>
      <c r="V144" t="str">
        <f>IF(U144&gt;0,SUM($U$5:U144),"")</f>
        <v/>
      </c>
    </row>
    <row r="145" spans="1:22" x14ac:dyDescent="0.4">
      <c r="A145">
        <v>141</v>
      </c>
      <c r="N145" t="str">
        <f t="shared" si="4"/>
        <v/>
      </c>
      <c r="O145" s="6"/>
      <c r="S145">
        <v>141</v>
      </c>
      <c r="V145" t="str">
        <f>IF(U145&gt;0,SUM($U$5:U145),"")</f>
        <v/>
      </c>
    </row>
    <row r="146" spans="1:22" x14ac:dyDescent="0.4">
      <c r="A146">
        <v>142</v>
      </c>
      <c r="N146" t="str">
        <f t="shared" si="4"/>
        <v/>
      </c>
      <c r="O146" s="6"/>
      <c r="S146">
        <v>142</v>
      </c>
      <c r="V146" t="str">
        <f>IF(U146&gt;0,SUM($U$5:U146),"")</f>
        <v/>
      </c>
    </row>
    <row r="147" spans="1:22" x14ac:dyDescent="0.4">
      <c r="A147">
        <v>143</v>
      </c>
      <c r="N147" t="str">
        <f t="shared" si="4"/>
        <v/>
      </c>
      <c r="O147" s="6"/>
      <c r="S147">
        <v>143</v>
      </c>
      <c r="V147" t="str">
        <f>IF(U147&gt;0,SUM($U$5:U147),"")</f>
        <v/>
      </c>
    </row>
    <row r="148" spans="1:22" x14ac:dyDescent="0.4">
      <c r="A148">
        <v>144</v>
      </c>
      <c r="N148" t="str">
        <f t="shared" si="4"/>
        <v/>
      </c>
      <c r="O148" s="6"/>
      <c r="S148">
        <v>144</v>
      </c>
      <c r="V148" t="str">
        <f>IF(U148&gt;0,SUM($U$5:U148),"")</f>
        <v/>
      </c>
    </row>
    <row r="149" spans="1:22" x14ac:dyDescent="0.4">
      <c r="A149">
        <v>145</v>
      </c>
      <c r="N149" t="str">
        <f t="shared" si="4"/>
        <v/>
      </c>
      <c r="O149" s="6"/>
      <c r="S149">
        <v>145</v>
      </c>
      <c r="V149" t="str">
        <f>IF(U149&gt;0,SUM($U$5:U149),"")</f>
        <v/>
      </c>
    </row>
    <row r="150" spans="1:22" x14ac:dyDescent="0.4">
      <c r="A150">
        <v>146</v>
      </c>
      <c r="N150" t="str">
        <f t="shared" si="4"/>
        <v/>
      </c>
      <c r="O150" s="6"/>
      <c r="S150">
        <v>146</v>
      </c>
      <c r="V150" t="str">
        <f>IF(U150&gt;0,SUM($U$5:U150),"")</f>
        <v/>
      </c>
    </row>
    <row r="151" spans="1:22" x14ac:dyDescent="0.4">
      <c r="A151">
        <v>147</v>
      </c>
      <c r="N151" t="str">
        <f t="shared" si="4"/>
        <v/>
      </c>
      <c r="O151" s="6"/>
      <c r="S151">
        <v>147</v>
      </c>
      <c r="V151" t="str">
        <f>IF(U151&gt;0,SUM($U$5:U151),"")</f>
        <v/>
      </c>
    </row>
    <row r="152" spans="1:22" x14ac:dyDescent="0.4">
      <c r="A152">
        <v>148</v>
      </c>
      <c r="N152" t="str">
        <f t="shared" si="4"/>
        <v/>
      </c>
      <c r="O152" s="6"/>
      <c r="S152">
        <v>148</v>
      </c>
      <c r="V152" t="str">
        <f>IF(U152&gt;0,SUM($U$5:U152),"")</f>
        <v/>
      </c>
    </row>
    <row r="153" spans="1:22" x14ac:dyDescent="0.4">
      <c r="A153">
        <v>149</v>
      </c>
      <c r="N153" t="str">
        <f t="shared" si="4"/>
        <v/>
      </c>
      <c r="O153" s="6"/>
      <c r="S153">
        <v>149</v>
      </c>
      <c r="V153" t="str">
        <f>IF(U153&gt;0,SUM($U$5:U153),"")</f>
        <v/>
      </c>
    </row>
    <row r="154" spans="1:22" x14ac:dyDescent="0.4">
      <c r="A154">
        <v>150</v>
      </c>
      <c r="N154" t="str">
        <f t="shared" si="4"/>
        <v/>
      </c>
      <c r="O154" s="6"/>
      <c r="S154">
        <v>150</v>
      </c>
      <c r="V154" t="str">
        <f>IF(U154&gt;0,SUM($U$5:U154),"")</f>
        <v/>
      </c>
    </row>
    <row r="155" spans="1:22" x14ac:dyDescent="0.4">
      <c r="A155">
        <v>151</v>
      </c>
      <c r="N155" t="str">
        <f t="shared" si="4"/>
        <v/>
      </c>
      <c r="O155" s="6"/>
      <c r="S155">
        <v>151</v>
      </c>
      <c r="V155" t="str">
        <f>IF(U155&gt;0,SUM($U$5:U155),"")</f>
        <v/>
      </c>
    </row>
    <row r="156" spans="1:22" x14ac:dyDescent="0.4">
      <c r="A156">
        <v>152</v>
      </c>
      <c r="N156" t="str">
        <f t="shared" si="4"/>
        <v/>
      </c>
      <c r="O156" s="6"/>
      <c r="S156">
        <v>152</v>
      </c>
      <c r="V156" t="str">
        <f>IF(U156&gt;0,SUM($U$5:U156),"")</f>
        <v/>
      </c>
    </row>
    <row r="157" spans="1:22" x14ac:dyDescent="0.4">
      <c r="A157">
        <v>153</v>
      </c>
      <c r="N157" t="str">
        <f t="shared" si="4"/>
        <v/>
      </c>
      <c r="O157" s="6"/>
      <c r="S157">
        <v>153</v>
      </c>
      <c r="V157" t="str">
        <f>IF(U157&gt;0,SUM($U$5:U157),"")</f>
        <v/>
      </c>
    </row>
    <row r="158" spans="1:22" x14ac:dyDescent="0.4">
      <c r="A158">
        <v>154</v>
      </c>
      <c r="N158" t="str">
        <f t="shared" si="4"/>
        <v/>
      </c>
      <c r="O158" s="6"/>
      <c r="S158">
        <v>154</v>
      </c>
      <c r="V158" t="str">
        <f>IF(U158&gt;0,SUM($U$5:U158),"")</f>
        <v/>
      </c>
    </row>
    <row r="159" spans="1:22" x14ac:dyDescent="0.4">
      <c r="A159">
        <v>155</v>
      </c>
      <c r="N159" t="str">
        <f t="shared" si="4"/>
        <v/>
      </c>
      <c r="O159" s="6"/>
      <c r="S159">
        <v>155</v>
      </c>
      <c r="V159" t="str">
        <f>IF(U159&gt;0,SUM($U$5:U159),"")</f>
        <v/>
      </c>
    </row>
    <row r="160" spans="1:22" x14ac:dyDescent="0.4">
      <c r="A160">
        <v>156</v>
      </c>
      <c r="N160" t="str">
        <f t="shared" si="4"/>
        <v/>
      </c>
      <c r="O160" s="6"/>
      <c r="S160">
        <v>156</v>
      </c>
      <c r="V160" t="str">
        <f>IF(U160&gt;0,SUM($U$5:U160),"")</f>
        <v/>
      </c>
    </row>
    <row r="161" spans="1:22" x14ac:dyDescent="0.4">
      <c r="A161">
        <v>157</v>
      </c>
      <c r="N161" t="str">
        <f t="shared" si="4"/>
        <v/>
      </c>
      <c r="O161" s="6"/>
      <c r="S161">
        <v>157</v>
      </c>
      <c r="V161" t="str">
        <f>IF(U161&gt;0,SUM($U$5:U161),"")</f>
        <v/>
      </c>
    </row>
    <row r="162" spans="1:22" x14ac:dyDescent="0.4">
      <c r="A162">
        <v>158</v>
      </c>
      <c r="N162" t="str">
        <f t="shared" si="4"/>
        <v/>
      </c>
      <c r="O162" s="6"/>
      <c r="S162">
        <v>158</v>
      </c>
      <c r="V162" t="str">
        <f>IF(U162&gt;0,SUM($U$5:U162),"")</f>
        <v/>
      </c>
    </row>
    <row r="163" spans="1:22" x14ac:dyDescent="0.4">
      <c r="A163">
        <v>159</v>
      </c>
      <c r="N163" t="str">
        <f t="shared" si="4"/>
        <v/>
      </c>
      <c r="O163" s="6"/>
      <c r="S163">
        <v>159</v>
      </c>
      <c r="V163" t="str">
        <f>IF(U163&gt;0,SUM($U$5:U163),"")</f>
        <v/>
      </c>
    </row>
    <row r="164" spans="1:22" x14ac:dyDescent="0.4">
      <c r="A164">
        <v>160</v>
      </c>
      <c r="N164" t="str">
        <f t="shared" si="4"/>
        <v/>
      </c>
      <c r="O164" s="6"/>
      <c r="S164">
        <v>160</v>
      </c>
      <c r="V164" t="str">
        <f>IF(U164&gt;0,SUM($U$5:U164),"")</f>
        <v/>
      </c>
    </row>
    <row r="165" spans="1:22" x14ac:dyDescent="0.4">
      <c r="A165">
        <v>161</v>
      </c>
      <c r="N165" t="str">
        <f t="shared" si="4"/>
        <v/>
      </c>
      <c r="O165" s="6"/>
      <c r="S165">
        <v>161</v>
      </c>
      <c r="V165" t="str">
        <f>IF(U165&gt;0,SUM($U$5:U165),"")</f>
        <v/>
      </c>
    </row>
    <row r="166" spans="1:22" x14ac:dyDescent="0.4">
      <c r="A166">
        <v>162</v>
      </c>
      <c r="N166" t="str">
        <f t="shared" si="4"/>
        <v/>
      </c>
      <c r="O166" s="6"/>
      <c r="S166">
        <v>162</v>
      </c>
      <c r="V166" t="str">
        <f>IF(U166&gt;0,SUM($U$5:U166),"")</f>
        <v/>
      </c>
    </row>
    <row r="167" spans="1:22" x14ac:dyDescent="0.4">
      <c r="A167">
        <v>163</v>
      </c>
      <c r="N167" t="str">
        <f t="shared" si="4"/>
        <v/>
      </c>
      <c r="O167" s="6"/>
      <c r="S167">
        <v>163</v>
      </c>
      <c r="V167" t="str">
        <f>IF(U167&gt;0,SUM($U$5:U167),"")</f>
        <v/>
      </c>
    </row>
    <row r="168" spans="1:22" x14ac:dyDescent="0.4">
      <c r="A168">
        <v>164</v>
      </c>
      <c r="N168" t="str">
        <f t="shared" si="4"/>
        <v/>
      </c>
      <c r="O168" s="6"/>
      <c r="S168">
        <v>164</v>
      </c>
      <c r="V168" t="str">
        <f>IF(U168&gt;0,SUM($U$5:U168),"")</f>
        <v/>
      </c>
    </row>
    <row r="169" spans="1:22" x14ac:dyDescent="0.4">
      <c r="A169">
        <v>165</v>
      </c>
      <c r="N169" t="str">
        <f t="shared" si="4"/>
        <v/>
      </c>
      <c r="O169" s="6"/>
      <c r="S169">
        <v>165</v>
      </c>
      <c r="V169" t="str">
        <f>IF(U169&gt;0,SUM($U$5:U169),"")</f>
        <v/>
      </c>
    </row>
    <row r="170" spans="1:22" x14ac:dyDescent="0.4">
      <c r="A170">
        <v>166</v>
      </c>
      <c r="N170" t="str">
        <f t="shared" si="4"/>
        <v/>
      </c>
      <c r="O170" s="6"/>
      <c r="S170">
        <v>166</v>
      </c>
      <c r="V170" t="str">
        <f>IF(U170&gt;0,SUM($U$5:U170),"")</f>
        <v/>
      </c>
    </row>
    <row r="171" spans="1:22" x14ac:dyDescent="0.4">
      <c r="A171">
        <v>167</v>
      </c>
      <c r="N171" t="str">
        <f t="shared" si="4"/>
        <v/>
      </c>
      <c r="O171" s="6"/>
      <c r="S171">
        <v>167</v>
      </c>
      <c r="V171" t="str">
        <f>IF(U171&gt;0,SUM($U$5:U171),"")</f>
        <v/>
      </c>
    </row>
    <row r="172" spans="1:22" x14ac:dyDescent="0.4">
      <c r="A172">
        <v>168</v>
      </c>
      <c r="N172" t="str">
        <f t="shared" si="4"/>
        <v/>
      </c>
      <c r="O172" s="6"/>
      <c r="S172">
        <v>168</v>
      </c>
      <c r="V172" t="str">
        <f>IF(U172&gt;0,SUM($U$5:U172),"")</f>
        <v/>
      </c>
    </row>
    <row r="173" spans="1:22" x14ac:dyDescent="0.4">
      <c r="A173">
        <v>169</v>
      </c>
      <c r="N173" t="str">
        <f t="shared" si="4"/>
        <v/>
      </c>
      <c r="O173" s="6"/>
      <c r="S173">
        <v>169</v>
      </c>
      <c r="V173" t="str">
        <f>IF(U173&gt;0,SUM($U$5:U173),"")</f>
        <v/>
      </c>
    </row>
    <row r="174" spans="1:22" x14ac:dyDescent="0.4">
      <c r="A174">
        <v>170</v>
      </c>
      <c r="N174" t="str">
        <f t="shared" si="4"/>
        <v/>
      </c>
      <c r="O174" s="6"/>
      <c r="S174">
        <v>170</v>
      </c>
      <c r="V174" t="str">
        <f>IF(U174&gt;0,SUM($U$5:U174),"")</f>
        <v/>
      </c>
    </row>
    <row r="175" spans="1:22" x14ac:dyDescent="0.4">
      <c r="A175">
        <v>171</v>
      </c>
      <c r="N175" t="str">
        <f t="shared" si="4"/>
        <v/>
      </c>
      <c r="O175" s="6"/>
      <c r="S175">
        <v>171</v>
      </c>
      <c r="V175" t="str">
        <f>IF(U175&gt;0,SUM($U$5:U175),"")</f>
        <v/>
      </c>
    </row>
    <row r="176" spans="1:22" x14ac:dyDescent="0.4">
      <c r="A176">
        <v>172</v>
      </c>
      <c r="N176" t="str">
        <f t="shared" si="4"/>
        <v/>
      </c>
      <c r="O176" s="6"/>
      <c r="S176">
        <v>172</v>
      </c>
      <c r="V176" t="str">
        <f>IF(U176&gt;0,SUM($U$5:U176),"")</f>
        <v/>
      </c>
    </row>
    <row r="177" spans="1:22" x14ac:dyDescent="0.4">
      <c r="A177">
        <v>173</v>
      </c>
      <c r="N177" t="str">
        <f t="shared" si="4"/>
        <v/>
      </c>
      <c r="O177" s="6"/>
      <c r="S177">
        <v>173</v>
      </c>
      <c r="V177" t="str">
        <f>IF(U177&gt;0,SUM($U$5:U177),"")</f>
        <v/>
      </c>
    </row>
    <row r="178" spans="1:22" x14ac:dyDescent="0.4">
      <c r="A178">
        <v>174</v>
      </c>
      <c r="N178" t="str">
        <f t="shared" si="4"/>
        <v/>
      </c>
      <c r="O178" s="6"/>
      <c r="S178">
        <v>174</v>
      </c>
      <c r="V178" t="str">
        <f>IF(U178&gt;0,SUM($U$5:U178),"")</f>
        <v/>
      </c>
    </row>
    <row r="179" spans="1:22" x14ac:dyDescent="0.4">
      <c r="A179">
        <v>175</v>
      </c>
      <c r="N179" t="str">
        <f t="shared" si="4"/>
        <v/>
      </c>
      <c r="O179" s="6"/>
      <c r="S179">
        <v>175</v>
      </c>
      <c r="V179" t="str">
        <f>IF(U179&gt;0,SUM($U$5:U179),"")</f>
        <v/>
      </c>
    </row>
    <row r="180" spans="1:22" x14ac:dyDescent="0.4">
      <c r="A180">
        <v>176</v>
      </c>
      <c r="N180" t="str">
        <f t="shared" si="4"/>
        <v/>
      </c>
      <c r="O180" s="6"/>
      <c r="S180">
        <v>176</v>
      </c>
      <c r="V180" t="str">
        <f>IF(U180&gt;0,SUM($U$5:U180),"")</f>
        <v/>
      </c>
    </row>
    <row r="181" spans="1:22" x14ac:dyDescent="0.4">
      <c r="A181">
        <v>177</v>
      </c>
      <c r="N181" t="str">
        <f t="shared" si="4"/>
        <v/>
      </c>
      <c r="O181" s="6"/>
      <c r="S181">
        <v>177</v>
      </c>
      <c r="V181" t="str">
        <f>IF(U181&gt;0,SUM($U$5:U181),"")</f>
        <v/>
      </c>
    </row>
    <row r="182" spans="1:22" x14ac:dyDescent="0.4">
      <c r="A182">
        <v>178</v>
      </c>
      <c r="N182" t="str">
        <f t="shared" si="4"/>
        <v/>
      </c>
      <c r="O182" s="6"/>
      <c r="S182">
        <v>178</v>
      </c>
      <c r="V182" t="str">
        <f>IF(U182&gt;0,SUM($U$5:U182),"")</f>
        <v/>
      </c>
    </row>
    <row r="183" spans="1:22" x14ac:dyDescent="0.4">
      <c r="A183">
        <v>179</v>
      </c>
      <c r="N183" t="str">
        <f t="shared" si="4"/>
        <v/>
      </c>
      <c r="O183" s="6"/>
      <c r="S183">
        <v>179</v>
      </c>
      <c r="V183" t="str">
        <f>IF(U183&gt;0,SUM($U$5:U183),"")</f>
        <v/>
      </c>
    </row>
    <row r="184" spans="1:22" x14ac:dyDescent="0.4">
      <c r="A184">
        <v>180</v>
      </c>
      <c r="N184" t="str">
        <f t="shared" si="4"/>
        <v/>
      </c>
      <c r="O184" s="6"/>
      <c r="S184">
        <v>180</v>
      </c>
      <c r="V184" t="str">
        <f>IF(U184&gt;0,SUM($U$5:U184),"")</f>
        <v/>
      </c>
    </row>
    <row r="185" spans="1:22" x14ac:dyDescent="0.4">
      <c r="A185">
        <v>181</v>
      </c>
      <c r="N185" t="str">
        <f t="shared" si="4"/>
        <v/>
      </c>
      <c r="O185" s="6"/>
      <c r="S185">
        <v>181</v>
      </c>
      <c r="V185" t="str">
        <f>IF(U185&gt;0,SUM($U$5:U185),"")</f>
        <v/>
      </c>
    </row>
    <row r="186" spans="1:22" x14ac:dyDescent="0.4">
      <c r="A186">
        <v>182</v>
      </c>
      <c r="N186" t="str">
        <f t="shared" si="4"/>
        <v/>
      </c>
      <c r="O186" s="6"/>
      <c r="S186">
        <v>182</v>
      </c>
      <c r="V186" t="str">
        <f>IF(U186&gt;0,SUM($U$5:U186),"")</f>
        <v/>
      </c>
    </row>
    <row r="187" spans="1:22" x14ac:dyDescent="0.4">
      <c r="A187">
        <v>183</v>
      </c>
      <c r="N187" t="str">
        <f t="shared" si="4"/>
        <v/>
      </c>
      <c r="O187" s="6"/>
      <c r="S187">
        <v>183</v>
      </c>
      <c r="V187" t="str">
        <f>IF(U187&gt;0,SUM($U$5:U187),"")</f>
        <v/>
      </c>
    </row>
    <row r="188" spans="1:22" x14ac:dyDescent="0.4">
      <c r="A188">
        <v>184</v>
      </c>
      <c r="N188" t="str">
        <f t="shared" si="4"/>
        <v/>
      </c>
      <c r="O188" s="6"/>
      <c r="S188">
        <v>184</v>
      </c>
      <c r="V188" t="str">
        <f>IF(U188&gt;0,SUM($U$5:U188),"")</f>
        <v/>
      </c>
    </row>
    <row r="189" spans="1:22" x14ac:dyDescent="0.4">
      <c r="A189">
        <v>185</v>
      </c>
      <c r="N189" t="str">
        <f t="shared" si="4"/>
        <v/>
      </c>
      <c r="O189" s="6"/>
      <c r="S189">
        <v>185</v>
      </c>
      <c r="V189" t="str">
        <f>IF(U189&gt;0,SUM($U$5:U189),"")</f>
        <v/>
      </c>
    </row>
    <row r="190" spans="1:22" x14ac:dyDescent="0.4">
      <c r="A190">
        <v>186</v>
      </c>
      <c r="N190" t="str">
        <f t="shared" si="4"/>
        <v/>
      </c>
      <c r="O190" s="6"/>
      <c r="S190">
        <v>186</v>
      </c>
      <c r="V190" t="str">
        <f>IF(U190&gt;0,SUM($U$5:U190),"")</f>
        <v/>
      </c>
    </row>
    <row r="191" spans="1:22" x14ac:dyDescent="0.4">
      <c r="A191">
        <v>187</v>
      </c>
      <c r="N191" t="str">
        <f t="shared" si="4"/>
        <v/>
      </c>
      <c r="O191" s="6"/>
      <c r="S191">
        <v>187</v>
      </c>
      <c r="V191" t="str">
        <f>IF(U191&gt;0,SUM($U$5:U191),"")</f>
        <v/>
      </c>
    </row>
    <row r="192" spans="1:22" x14ac:dyDescent="0.4">
      <c r="A192">
        <v>188</v>
      </c>
      <c r="N192" t="str">
        <f t="shared" si="4"/>
        <v/>
      </c>
      <c r="O192" s="6"/>
      <c r="S192">
        <v>188</v>
      </c>
      <c r="V192" t="str">
        <f>IF(U192&gt;0,SUM($U$5:U192),"")</f>
        <v/>
      </c>
    </row>
    <row r="193" spans="1:22" x14ac:dyDescent="0.4">
      <c r="A193">
        <v>189</v>
      </c>
      <c r="N193" t="str">
        <f t="shared" si="4"/>
        <v/>
      </c>
      <c r="O193" s="6"/>
      <c r="S193">
        <v>189</v>
      </c>
      <c r="V193" t="str">
        <f>IF(U193&gt;0,SUM($U$5:U193),"")</f>
        <v/>
      </c>
    </row>
    <row r="194" spans="1:22" x14ac:dyDescent="0.4">
      <c r="A194">
        <v>190</v>
      </c>
      <c r="N194" t="str">
        <f t="shared" si="4"/>
        <v/>
      </c>
      <c r="O194" s="6"/>
      <c r="S194">
        <v>190</v>
      </c>
      <c r="V194" t="str">
        <f>IF(U194&gt;0,SUM($U$5:U194),"")</f>
        <v/>
      </c>
    </row>
    <row r="195" spans="1:22" x14ac:dyDescent="0.4">
      <c r="A195">
        <v>191</v>
      </c>
      <c r="N195" t="str">
        <f t="shared" si="4"/>
        <v/>
      </c>
      <c r="O195" s="6"/>
      <c r="S195">
        <v>191</v>
      </c>
      <c r="V195" t="str">
        <f>IF(U195&gt;0,SUM($U$5:U195),"")</f>
        <v/>
      </c>
    </row>
    <row r="196" spans="1:22" x14ac:dyDescent="0.4">
      <c r="A196">
        <v>192</v>
      </c>
      <c r="N196" t="str">
        <f t="shared" si="4"/>
        <v/>
      </c>
      <c r="O196" s="6"/>
      <c r="S196">
        <v>192</v>
      </c>
      <c r="V196" t="str">
        <f>IF(U196&gt;0,SUM($U$5:U196),"")</f>
        <v/>
      </c>
    </row>
    <row r="197" spans="1:22" x14ac:dyDescent="0.4">
      <c r="A197">
        <v>193</v>
      </c>
      <c r="N197" t="str">
        <f t="shared" si="4"/>
        <v/>
      </c>
      <c r="O197" s="6"/>
      <c r="S197">
        <v>193</v>
      </c>
      <c r="V197" t="str">
        <f>IF(U197&gt;0,SUM($U$5:U197),"")</f>
        <v/>
      </c>
    </row>
    <row r="198" spans="1:22" x14ac:dyDescent="0.4">
      <c r="A198">
        <v>194</v>
      </c>
      <c r="N198" t="str">
        <f t="shared" ref="N198:N254" si="5">IFERROR(IF(L198+M198=0,"",L198+M198),"")</f>
        <v/>
      </c>
      <c r="O198" s="6"/>
      <c r="S198">
        <v>194</v>
      </c>
      <c r="V198" t="str">
        <f>IF(U198&gt;0,SUM($U$5:U198),"")</f>
        <v/>
      </c>
    </row>
    <row r="199" spans="1:22" x14ac:dyDescent="0.4">
      <c r="A199">
        <v>195</v>
      </c>
      <c r="N199" t="str">
        <f t="shared" si="5"/>
        <v/>
      </c>
      <c r="O199" s="6"/>
      <c r="S199">
        <v>195</v>
      </c>
      <c r="V199" t="str">
        <f>IF(U199&gt;0,SUM($U$5:U199),"")</f>
        <v/>
      </c>
    </row>
    <row r="200" spans="1:22" x14ac:dyDescent="0.4">
      <c r="A200">
        <v>196</v>
      </c>
      <c r="N200" t="str">
        <f t="shared" si="5"/>
        <v/>
      </c>
      <c r="O200" s="6"/>
      <c r="S200">
        <v>196</v>
      </c>
      <c r="V200" t="str">
        <f>IF(U200&gt;0,SUM($U$5:U200),"")</f>
        <v/>
      </c>
    </row>
    <row r="201" spans="1:22" x14ac:dyDescent="0.4">
      <c r="A201">
        <v>197</v>
      </c>
      <c r="N201" t="str">
        <f t="shared" si="5"/>
        <v/>
      </c>
      <c r="O201" s="6"/>
      <c r="S201">
        <v>197</v>
      </c>
      <c r="V201" t="str">
        <f>IF(U201&gt;0,SUM($U$5:U201),"")</f>
        <v/>
      </c>
    </row>
    <row r="202" spans="1:22" x14ac:dyDescent="0.4">
      <c r="A202">
        <v>198</v>
      </c>
      <c r="N202" t="str">
        <f t="shared" si="5"/>
        <v/>
      </c>
      <c r="O202" s="6"/>
      <c r="S202">
        <v>198</v>
      </c>
      <c r="V202" t="str">
        <f>IF(U202&gt;0,SUM($U$5:U202),"")</f>
        <v/>
      </c>
    </row>
    <row r="203" spans="1:22" x14ac:dyDescent="0.4">
      <c r="A203">
        <v>199</v>
      </c>
      <c r="N203" t="str">
        <f t="shared" si="5"/>
        <v/>
      </c>
      <c r="O203" s="6"/>
      <c r="S203">
        <v>199</v>
      </c>
      <c r="V203" t="str">
        <f>IF(U203&gt;0,SUM($U$5:U203),"")</f>
        <v/>
      </c>
    </row>
    <row r="204" spans="1:22" x14ac:dyDescent="0.4">
      <c r="A204">
        <v>200</v>
      </c>
      <c r="N204" t="str">
        <f t="shared" si="5"/>
        <v/>
      </c>
      <c r="O204" s="6"/>
      <c r="S204">
        <v>200</v>
      </c>
      <c r="V204" t="str">
        <f>IF(U204&gt;0,SUM($U$5:U204),"")</f>
        <v/>
      </c>
    </row>
    <row r="205" spans="1:22" x14ac:dyDescent="0.4">
      <c r="A205">
        <v>201</v>
      </c>
      <c r="N205" t="str">
        <f t="shared" si="5"/>
        <v/>
      </c>
      <c r="O205" s="6"/>
      <c r="S205">
        <v>201</v>
      </c>
      <c r="V205" t="str">
        <f>IF(U205&gt;0,SUM($U$5:U205),"")</f>
        <v/>
      </c>
    </row>
    <row r="206" spans="1:22" x14ac:dyDescent="0.4">
      <c r="A206">
        <v>202</v>
      </c>
      <c r="N206" t="str">
        <f t="shared" si="5"/>
        <v/>
      </c>
      <c r="O206" s="6"/>
      <c r="S206">
        <v>202</v>
      </c>
      <c r="V206" t="str">
        <f>IF(U206&gt;0,SUM($U$5:U206),"")</f>
        <v/>
      </c>
    </row>
    <row r="207" spans="1:22" x14ac:dyDescent="0.4">
      <c r="A207">
        <v>203</v>
      </c>
      <c r="N207" t="str">
        <f t="shared" si="5"/>
        <v/>
      </c>
      <c r="O207" s="6"/>
      <c r="S207">
        <v>203</v>
      </c>
      <c r="V207" t="str">
        <f>IF(U207&gt;0,SUM($U$5:U207),"")</f>
        <v/>
      </c>
    </row>
    <row r="208" spans="1:22" x14ac:dyDescent="0.4">
      <c r="A208">
        <v>204</v>
      </c>
      <c r="N208" t="str">
        <f t="shared" si="5"/>
        <v/>
      </c>
      <c r="O208" s="6"/>
      <c r="S208">
        <v>204</v>
      </c>
      <c r="V208" t="str">
        <f>IF(U208&gt;0,SUM($U$5:U208),"")</f>
        <v/>
      </c>
    </row>
    <row r="209" spans="1:22" x14ac:dyDescent="0.4">
      <c r="A209">
        <v>205</v>
      </c>
      <c r="N209" t="str">
        <f t="shared" si="5"/>
        <v/>
      </c>
      <c r="O209" s="6"/>
      <c r="S209">
        <v>205</v>
      </c>
      <c r="V209" t="str">
        <f>IF(U209&gt;0,SUM($U$5:U209),"")</f>
        <v/>
      </c>
    </row>
    <row r="210" spans="1:22" x14ac:dyDescent="0.4">
      <c r="A210">
        <v>206</v>
      </c>
      <c r="N210" t="str">
        <f t="shared" si="5"/>
        <v/>
      </c>
      <c r="O210" s="6"/>
      <c r="S210">
        <v>206</v>
      </c>
      <c r="V210" t="str">
        <f>IF(U210&gt;0,SUM($U$5:U210),"")</f>
        <v/>
      </c>
    </row>
    <row r="211" spans="1:22" x14ac:dyDescent="0.4">
      <c r="A211">
        <v>207</v>
      </c>
      <c r="N211" t="str">
        <f t="shared" si="5"/>
        <v/>
      </c>
      <c r="O211" s="6"/>
      <c r="S211">
        <v>207</v>
      </c>
      <c r="V211" t="str">
        <f>IF(U211&gt;0,SUM($U$5:U211),"")</f>
        <v/>
      </c>
    </row>
    <row r="212" spans="1:22" x14ac:dyDescent="0.4">
      <c r="A212">
        <v>208</v>
      </c>
      <c r="N212" t="str">
        <f t="shared" si="5"/>
        <v/>
      </c>
      <c r="O212" s="6"/>
      <c r="S212">
        <v>208</v>
      </c>
      <c r="V212" t="str">
        <f>IF(U212&gt;0,SUM($U$5:U212),"")</f>
        <v/>
      </c>
    </row>
    <row r="213" spans="1:22" x14ac:dyDescent="0.4">
      <c r="A213">
        <v>209</v>
      </c>
      <c r="N213" t="str">
        <f t="shared" si="5"/>
        <v/>
      </c>
      <c r="O213" s="6"/>
      <c r="S213">
        <v>209</v>
      </c>
      <c r="V213" t="str">
        <f>IF(U213&gt;0,SUM($U$5:U213),"")</f>
        <v/>
      </c>
    </row>
    <row r="214" spans="1:22" x14ac:dyDescent="0.4">
      <c r="A214">
        <v>210</v>
      </c>
      <c r="N214" t="str">
        <f t="shared" si="5"/>
        <v/>
      </c>
      <c r="O214" s="6"/>
      <c r="S214">
        <v>210</v>
      </c>
      <c r="V214" t="str">
        <f>IF(U214&gt;0,SUM($U$5:U214),"")</f>
        <v/>
      </c>
    </row>
    <row r="215" spans="1:22" x14ac:dyDescent="0.4">
      <c r="A215">
        <v>211</v>
      </c>
      <c r="N215" t="str">
        <f t="shared" si="5"/>
        <v/>
      </c>
      <c r="O215" s="6"/>
      <c r="S215">
        <v>211</v>
      </c>
      <c r="V215" t="str">
        <f>IF(U215&gt;0,SUM($U$5:U215),"")</f>
        <v/>
      </c>
    </row>
    <row r="216" spans="1:22" x14ac:dyDescent="0.4">
      <c r="A216">
        <v>212</v>
      </c>
      <c r="N216" t="str">
        <f t="shared" si="5"/>
        <v/>
      </c>
      <c r="O216" s="6"/>
      <c r="S216">
        <v>212</v>
      </c>
      <c r="V216" t="str">
        <f>IF(U216&gt;0,SUM($U$5:U216),"")</f>
        <v/>
      </c>
    </row>
    <row r="217" spans="1:22" x14ac:dyDescent="0.4">
      <c r="A217">
        <v>213</v>
      </c>
      <c r="N217" t="str">
        <f t="shared" si="5"/>
        <v/>
      </c>
      <c r="O217" s="6"/>
      <c r="S217">
        <v>213</v>
      </c>
      <c r="V217" t="str">
        <f>IF(U217&gt;0,SUM($U$5:U217),"")</f>
        <v/>
      </c>
    </row>
    <row r="218" spans="1:22" x14ac:dyDescent="0.4">
      <c r="A218">
        <v>214</v>
      </c>
      <c r="N218" t="str">
        <f t="shared" si="5"/>
        <v/>
      </c>
      <c r="O218" s="6"/>
      <c r="S218">
        <v>214</v>
      </c>
      <c r="V218" t="str">
        <f>IF(U218&gt;0,SUM($U$5:U218),"")</f>
        <v/>
      </c>
    </row>
    <row r="219" spans="1:22" x14ac:dyDescent="0.4">
      <c r="A219">
        <v>215</v>
      </c>
      <c r="N219" t="str">
        <f t="shared" si="5"/>
        <v/>
      </c>
      <c r="O219" s="6"/>
      <c r="S219">
        <v>215</v>
      </c>
      <c r="V219" t="str">
        <f>IF(U219&gt;0,SUM($U$5:U219),"")</f>
        <v/>
      </c>
    </row>
    <row r="220" spans="1:22" x14ac:dyDescent="0.4">
      <c r="A220">
        <v>216</v>
      </c>
      <c r="N220" t="str">
        <f t="shared" si="5"/>
        <v/>
      </c>
      <c r="O220" s="6"/>
      <c r="S220">
        <v>216</v>
      </c>
      <c r="V220" t="str">
        <f>IF(U220&gt;0,SUM($U$5:U220),"")</f>
        <v/>
      </c>
    </row>
    <row r="221" spans="1:22" x14ac:dyDescent="0.4">
      <c r="A221">
        <v>217</v>
      </c>
      <c r="N221" t="str">
        <f t="shared" si="5"/>
        <v/>
      </c>
      <c r="O221" s="6"/>
      <c r="S221">
        <v>217</v>
      </c>
      <c r="V221" t="str">
        <f>IF(U221&gt;0,SUM($U$5:U221),"")</f>
        <v/>
      </c>
    </row>
    <row r="222" spans="1:22" x14ac:dyDescent="0.4">
      <c r="A222">
        <v>218</v>
      </c>
      <c r="N222" t="str">
        <f t="shared" si="5"/>
        <v/>
      </c>
      <c r="O222" s="6"/>
      <c r="S222">
        <v>218</v>
      </c>
      <c r="V222" t="str">
        <f>IF(U222&gt;0,SUM($U$5:U222),"")</f>
        <v/>
      </c>
    </row>
    <row r="223" spans="1:22" x14ac:dyDescent="0.4">
      <c r="A223">
        <v>219</v>
      </c>
      <c r="N223" t="str">
        <f t="shared" si="5"/>
        <v/>
      </c>
      <c r="O223" s="6"/>
      <c r="S223">
        <v>219</v>
      </c>
      <c r="V223" t="str">
        <f>IF(U223&gt;0,SUM($U$5:U223),"")</f>
        <v/>
      </c>
    </row>
    <row r="224" spans="1:22" x14ac:dyDescent="0.4">
      <c r="A224">
        <v>220</v>
      </c>
      <c r="N224" t="str">
        <f t="shared" si="5"/>
        <v/>
      </c>
      <c r="O224" s="6"/>
      <c r="S224">
        <v>220</v>
      </c>
      <c r="V224" t="str">
        <f>IF(U224&gt;0,SUM($U$5:U224),"")</f>
        <v/>
      </c>
    </row>
    <row r="225" spans="1:22" x14ac:dyDescent="0.4">
      <c r="A225">
        <v>221</v>
      </c>
      <c r="N225" t="str">
        <f t="shared" si="5"/>
        <v/>
      </c>
      <c r="O225" s="6"/>
      <c r="S225">
        <v>221</v>
      </c>
      <c r="V225" t="str">
        <f>IF(U225&gt;0,SUM($U$5:U225),"")</f>
        <v/>
      </c>
    </row>
    <row r="226" spans="1:22" x14ac:dyDescent="0.4">
      <c r="A226">
        <v>222</v>
      </c>
      <c r="N226" t="str">
        <f t="shared" si="5"/>
        <v/>
      </c>
      <c r="O226" s="6"/>
      <c r="S226">
        <v>222</v>
      </c>
      <c r="V226" t="str">
        <f>IF(U226&gt;0,SUM($U$5:U226),"")</f>
        <v/>
      </c>
    </row>
    <row r="227" spans="1:22" x14ac:dyDescent="0.4">
      <c r="A227">
        <v>223</v>
      </c>
      <c r="N227" t="str">
        <f t="shared" si="5"/>
        <v/>
      </c>
      <c r="O227" s="6"/>
      <c r="S227">
        <v>223</v>
      </c>
      <c r="V227" t="str">
        <f>IF(U227&gt;0,SUM($U$5:U227),"")</f>
        <v/>
      </c>
    </row>
    <row r="228" spans="1:22" x14ac:dyDescent="0.4">
      <c r="A228">
        <v>224</v>
      </c>
      <c r="N228" t="str">
        <f t="shared" si="5"/>
        <v/>
      </c>
      <c r="O228" s="6"/>
      <c r="S228">
        <v>224</v>
      </c>
      <c r="V228" t="str">
        <f>IF(U228&gt;0,SUM($U$5:U228),"")</f>
        <v/>
      </c>
    </row>
    <row r="229" spans="1:22" x14ac:dyDescent="0.4">
      <c r="A229">
        <v>225</v>
      </c>
      <c r="N229" t="str">
        <f t="shared" si="5"/>
        <v/>
      </c>
      <c r="O229" s="6"/>
      <c r="S229">
        <v>225</v>
      </c>
      <c r="V229" t="str">
        <f>IF(U229&gt;0,SUM($U$5:U229),"")</f>
        <v/>
      </c>
    </row>
    <row r="230" spans="1:22" x14ac:dyDescent="0.4">
      <c r="A230">
        <v>226</v>
      </c>
      <c r="N230" t="str">
        <f t="shared" si="5"/>
        <v/>
      </c>
      <c r="O230" s="6"/>
      <c r="S230">
        <v>226</v>
      </c>
      <c r="V230" t="str">
        <f>IF(U230&gt;0,SUM($U$5:U230),"")</f>
        <v/>
      </c>
    </row>
    <row r="231" spans="1:22" x14ac:dyDescent="0.4">
      <c r="A231">
        <v>227</v>
      </c>
      <c r="N231" t="str">
        <f t="shared" si="5"/>
        <v/>
      </c>
      <c r="O231" s="6"/>
      <c r="S231">
        <v>227</v>
      </c>
      <c r="V231" t="str">
        <f>IF(U231&gt;0,SUM($U$5:U231),"")</f>
        <v/>
      </c>
    </row>
    <row r="232" spans="1:22" x14ac:dyDescent="0.4">
      <c r="A232">
        <v>228</v>
      </c>
      <c r="N232" t="str">
        <f t="shared" si="5"/>
        <v/>
      </c>
      <c r="O232" s="6"/>
      <c r="S232">
        <v>228</v>
      </c>
      <c r="V232" t="str">
        <f>IF(U232&gt;0,SUM($U$5:U232),"")</f>
        <v/>
      </c>
    </row>
    <row r="233" spans="1:22" x14ac:dyDescent="0.4">
      <c r="A233">
        <v>229</v>
      </c>
      <c r="N233" t="str">
        <f t="shared" si="5"/>
        <v/>
      </c>
      <c r="O233" s="6"/>
      <c r="S233">
        <v>229</v>
      </c>
      <c r="V233" t="str">
        <f>IF(U233&gt;0,SUM($U$5:U233),"")</f>
        <v/>
      </c>
    </row>
    <row r="234" spans="1:22" x14ac:dyDescent="0.4">
      <c r="A234">
        <v>230</v>
      </c>
      <c r="N234" t="str">
        <f t="shared" si="5"/>
        <v/>
      </c>
      <c r="O234" s="6"/>
      <c r="S234">
        <v>230</v>
      </c>
      <c r="V234" t="str">
        <f>IF(U234&gt;0,SUM($U$5:U234),"")</f>
        <v/>
      </c>
    </row>
    <row r="235" spans="1:22" x14ac:dyDescent="0.4">
      <c r="A235">
        <v>231</v>
      </c>
      <c r="N235" t="str">
        <f t="shared" si="5"/>
        <v/>
      </c>
      <c r="O235" s="6"/>
      <c r="S235">
        <v>231</v>
      </c>
      <c r="V235" t="str">
        <f>IF(U235&gt;0,SUM($U$5:U235),"")</f>
        <v/>
      </c>
    </row>
    <row r="236" spans="1:22" x14ac:dyDescent="0.4">
      <c r="A236">
        <v>232</v>
      </c>
      <c r="N236" t="str">
        <f t="shared" si="5"/>
        <v/>
      </c>
      <c r="O236" s="6"/>
      <c r="S236">
        <v>232</v>
      </c>
      <c r="V236" t="str">
        <f>IF(U236&gt;0,SUM($U$5:U236),"")</f>
        <v/>
      </c>
    </row>
    <row r="237" spans="1:22" x14ac:dyDescent="0.4">
      <c r="A237">
        <v>233</v>
      </c>
      <c r="N237" t="str">
        <f t="shared" si="5"/>
        <v/>
      </c>
      <c r="O237" s="6"/>
      <c r="S237">
        <v>233</v>
      </c>
      <c r="V237" t="str">
        <f>IF(U237&gt;0,SUM($U$5:U237),"")</f>
        <v/>
      </c>
    </row>
    <row r="238" spans="1:22" x14ac:dyDescent="0.4">
      <c r="A238">
        <v>234</v>
      </c>
      <c r="N238" t="str">
        <f t="shared" si="5"/>
        <v/>
      </c>
      <c r="O238" s="6"/>
      <c r="S238">
        <v>234</v>
      </c>
      <c r="V238" t="str">
        <f>IF(U238&gt;0,SUM($U$5:U238),"")</f>
        <v/>
      </c>
    </row>
    <row r="239" spans="1:22" x14ac:dyDescent="0.4">
      <c r="A239">
        <v>235</v>
      </c>
      <c r="N239" t="str">
        <f t="shared" si="5"/>
        <v/>
      </c>
      <c r="O239" s="6"/>
      <c r="S239">
        <v>235</v>
      </c>
      <c r="V239" t="str">
        <f>IF(U239&gt;0,SUM($U$5:U239),"")</f>
        <v/>
      </c>
    </row>
    <row r="240" spans="1:22" x14ac:dyDescent="0.4">
      <c r="A240">
        <v>236</v>
      </c>
      <c r="N240" t="str">
        <f t="shared" si="5"/>
        <v/>
      </c>
      <c r="O240" s="6"/>
      <c r="S240">
        <v>236</v>
      </c>
      <c r="V240" t="str">
        <f>IF(U240&gt;0,SUM($U$5:U240),"")</f>
        <v/>
      </c>
    </row>
    <row r="241" spans="1:22" x14ac:dyDescent="0.4">
      <c r="A241">
        <v>237</v>
      </c>
      <c r="N241" t="str">
        <f t="shared" si="5"/>
        <v/>
      </c>
      <c r="O241" s="6"/>
      <c r="S241">
        <v>237</v>
      </c>
      <c r="V241" t="str">
        <f>IF(U241&gt;0,SUM($U$5:U241),"")</f>
        <v/>
      </c>
    </row>
    <row r="242" spans="1:22" x14ac:dyDescent="0.4">
      <c r="A242">
        <v>238</v>
      </c>
      <c r="N242" t="str">
        <f t="shared" si="5"/>
        <v/>
      </c>
      <c r="O242" s="6"/>
      <c r="S242">
        <v>238</v>
      </c>
      <c r="V242" t="str">
        <f>IF(U242&gt;0,SUM($U$5:U242),"")</f>
        <v/>
      </c>
    </row>
    <row r="243" spans="1:22" x14ac:dyDescent="0.4">
      <c r="A243">
        <v>239</v>
      </c>
      <c r="N243" t="str">
        <f t="shared" si="5"/>
        <v/>
      </c>
      <c r="O243" s="6"/>
      <c r="S243">
        <v>239</v>
      </c>
      <c r="V243" t="str">
        <f>IF(U243&gt;0,SUM($U$5:U243),"")</f>
        <v/>
      </c>
    </row>
    <row r="244" spans="1:22" x14ac:dyDescent="0.4">
      <c r="A244">
        <v>240</v>
      </c>
      <c r="N244" t="str">
        <f t="shared" si="5"/>
        <v/>
      </c>
      <c r="O244" s="6"/>
      <c r="S244">
        <v>240</v>
      </c>
      <c r="V244" t="str">
        <f>IF(U244&gt;0,SUM($U$5:U244),"")</f>
        <v/>
      </c>
    </row>
    <row r="245" spans="1:22" x14ac:dyDescent="0.4">
      <c r="A245">
        <v>241</v>
      </c>
      <c r="N245" t="str">
        <f t="shared" si="5"/>
        <v/>
      </c>
      <c r="O245" s="6"/>
      <c r="S245">
        <v>241</v>
      </c>
      <c r="V245" t="str">
        <f>IF(U245&gt;0,SUM($U$5:U245),"")</f>
        <v/>
      </c>
    </row>
    <row r="246" spans="1:22" x14ac:dyDescent="0.4">
      <c r="A246">
        <v>242</v>
      </c>
      <c r="N246" t="str">
        <f t="shared" si="5"/>
        <v/>
      </c>
      <c r="O246" s="6"/>
      <c r="S246">
        <v>242</v>
      </c>
      <c r="V246" t="str">
        <f>IF(U246&gt;0,SUM($U$5:U246),"")</f>
        <v/>
      </c>
    </row>
    <row r="247" spans="1:22" x14ac:dyDescent="0.4">
      <c r="A247">
        <v>243</v>
      </c>
      <c r="N247" t="str">
        <f t="shared" si="5"/>
        <v/>
      </c>
      <c r="O247" s="6"/>
      <c r="S247">
        <v>243</v>
      </c>
      <c r="V247" t="str">
        <f>IF(U247&gt;0,SUM($U$5:U247),"")</f>
        <v/>
      </c>
    </row>
    <row r="248" spans="1:22" x14ac:dyDescent="0.4">
      <c r="A248">
        <v>244</v>
      </c>
      <c r="N248" t="str">
        <f t="shared" si="5"/>
        <v/>
      </c>
      <c r="O248" s="6"/>
      <c r="S248">
        <v>244</v>
      </c>
      <c r="V248" t="str">
        <f>IF(U248&gt;0,SUM($U$5:U248),"")</f>
        <v/>
      </c>
    </row>
    <row r="249" spans="1:22" x14ac:dyDescent="0.4">
      <c r="A249">
        <v>245</v>
      </c>
      <c r="N249" t="str">
        <f t="shared" si="5"/>
        <v/>
      </c>
      <c r="O249" s="6"/>
      <c r="S249">
        <v>245</v>
      </c>
      <c r="V249" t="str">
        <f>IF(U249&gt;0,SUM($U$5:U249),"")</f>
        <v/>
      </c>
    </row>
    <row r="250" spans="1:22" x14ac:dyDescent="0.4">
      <c r="A250">
        <v>246</v>
      </c>
      <c r="N250" t="str">
        <f t="shared" si="5"/>
        <v/>
      </c>
      <c r="O250" s="6"/>
      <c r="S250">
        <v>246</v>
      </c>
      <c r="V250" t="str">
        <f>IF(U250&gt;0,SUM($U$5:U250),"")</f>
        <v/>
      </c>
    </row>
    <row r="251" spans="1:22" x14ac:dyDescent="0.4">
      <c r="A251">
        <v>247</v>
      </c>
      <c r="N251" t="str">
        <f t="shared" si="5"/>
        <v/>
      </c>
      <c r="O251" s="6"/>
      <c r="S251">
        <v>247</v>
      </c>
      <c r="V251" t="str">
        <f>IF(U251&gt;0,SUM($U$5:U251),"")</f>
        <v/>
      </c>
    </row>
    <row r="252" spans="1:22" x14ac:dyDescent="0.4">
      <c r="A252">
        <v>248</v>
      </c>
      <c r="N252" t="str">
        <f t="shared" si="5"/>
        <v/>
      </c>
      <c r="O252" s="6"/>
      <c r="S252">
        <v>248</v>
      </c>
      <c r="V252" t="str">
        <f>IF(U252&gt;0,SUM($U$5:U252),"")</f>
        <v/>
      </c>
    </row>
    <row r="253" spans="1:22" x14ac:dyDescent="0.4">
      <c r="A253">
        <v>249</v>
      </c>
      <c r="N253" t="str">
        <f t="shared" si="5"/>
        <v/>
      </c>
      <c r="O253" s="6"/>
      <c r="S253">
        <v>249</v>
      </c>
      <c r="V253" t="str">
        <f>IF(U253&gt;0,SUM($U$5:U253),"")</f>
        <v/>
      </c>
    </row>
    <row r="254" spans="1:22" x14ac:dyDescent="0.4">
      <c r="A254">
        <v>250</v>
      </c>
      <c r="N254" t="str">
        <f t="shared" si="5"/>
        <v/>
      </c>
      <c r="O254" s="6"/>
      <c r="S254">
        <v>250</v>
      </c>
      <c r="V254" t="str">
        <f>IF(U254&gt;0,SUM($U$5:U254),"")</f>
        <v/>
      </c>
    </row>
    <row r="255" spans="1:22" x14ac:dyDescent="0.4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22" x14ac:dyDescent="0.4">
      <c r="O256" s="6"/>
    </row>
    <row r="257" spans="15:15" x14ac:dyDescent="0.4">
      <c r="O257" s="6"/>
    </row>
    <row r="258" spans="15:15" x14ac:dyDescent="0.4">
      <c r="O258" s="6"/>
    </row>
    <row r="259" spans="15:15" x14ac:dyDescent="0.4">
      <c r="O259" s="6"/>
    </row>
    <row r="260" spans="15:15" x14ac:dyDescent="0.4">
      <c r="O260" s="6"/>
    </row>
    <row r="261" spans="15:15" x14ac:dyDescent="0.4">
      <c r="O261" s="6"/>
    </row>
    <row r="262" spans="15:15" x14ac:dyDescent="0.4">
      <c r="O262" s="6"/>
    </row>
    <row r="263" spans="15:15" x14ac:dyDescent="0.4">
      <c r="O263" s="6"/>
    </row>
    <row r="264" spans="15:15" x14ac:dyDescent="0.4">
      <c r="O264" s="6"/>
    </row>
    <row r="265" spans="15:15" x14ac:dyDescent="0.4">
      <c r="O265" s="6"/>
    </row>
    <row r="266" spans="15:15" x14ac:dyDescent="0.4">
      <c r="O266" s="6"/>
    </row>
    <row r="267" spans="15:15" x14ac:dyDescent="0.4">
      <c r="O267" s="6"/>
    </row>
    <row r="268" spans="15:15" x14ac:dyDescent="0.4">
      <c r="O268" s="6"/>
    </row>
    <row r="269" spans="15:15" x14ac:dyDescent="0.4">
      <c r="O269" s="6"/>
    </row>
    <row r="270" spans="15:15" x14ac:dyDescent="0.4">
      <c r="O270" s="6"/>
    </row>
    <row r="271" spans="15:15" x14ac:dyDescent="0.4">
      <c r="O271" s="6"/>
    </row>
    <row r="272" spans="15:15" x14ac:dyDescent="0.4">
      <c r="O272" s="6"/>
    </row>
    <row r="273" spans="15:15" x14ac:dyDescent="0.4">
      <c r="O273" s="6"/>
    </row>
    <row r="274" spans="15:15" x14ac:dyDescent="0.4">
      <c r="O274" s="6"/>
    </row>
    <row r="275" spans="15:15" x14ac:dyDescent="0.4">
      <c r="O275" s="6"/>
    </row>
    <row r="276" spans="15:15" x14ac:dyDescent="0.4">
      <c r="O276" s="6"/>
    </row>
    <row r="277" spans="15:15" x14ac:dyDescent="0.4">
      <c r="O277" s="6"/>
    </row>
    <row r="278" spans="15:15" x14ac:dyDescent="0.4">
      <c r="O278" s="6"/>
    </row>
    <row r="279" spans="15:15" x14ac:dyDescent="0.4">
      <c r="O279" s="6"/>
    </row>
    <row r="280" spans="15:15" x14ac:dyDescent="0.4">
      <c r="O280" s="6"/>
    </row>
    <row r="281" spans="15:15" x14ac:dyDescent="0.4">
      <c r="O281" s="6"/>
    </row>
    <row r="282" spans="15:15" x14ac:dyDescent="0.4">
      <c r="O282" s="6"/>
    </row>
    <row r="283" spans="15:15" x14ac:dyDescent="0.4">
      <c r="O283" s="6"/>
    </row>
    <row r="284" spans="15:15" x14ac:dyDescent="0.4">
      <c r="O284" s="6"/>
    </row>
    <row r="285" spans="15:15" x14ac:dyDescent="0.4">
      <c r="O285" s="6"/>
    </row>
    <row r="286" spans="15:15" x14ac:dyDescent="0.4">
      <c r="O286" s="6"/>
    </row>
    <row r="287" spans="15:15" x14ac:dyDescent="0.4">
      <c r="O287" s="6"/>
    </row>
    <row r="288" spans="15:15" x14ac:dyDescent="0.4">
      <c r="O288" s="6"/>
    </row>
    <row r="289" spans="15:15" x14ac:dyDescent="0.4">
      <c r="O289" s="6"/>
    </row>
    <row r="290" spans="15:15" x14ac:dyDescent="0.4">
      <c r="O290" s="6"/>
    </row>
    <row r="291" spans="15:15" x14ac:dyDescent="0.4">
      <c r="O291" s="6"/>
    </row>
    <row r="292" spans="15:15" x14ac:dyDescent="0.4">
      <c r="O292" s="6"/>
    </row>
    <row r="293" spans="15:15" x14ac:dyDescent="0.4">
      <c r="O293" s="6"/>
    </row>
    <row r="294" spans="15:15" x14ac:dyDescent="0.4">
      <c r="O294" s="6"/>
    </row>
    <row r="295" spans="15:15" x14ac:dyDescent="0.4">
      <c r="O295" s="6"/>
    </row>
    <row r="296" spans="15:15" x14ac:dyDescent="0.4">
      <c r="O296" s="6"/>
    </row>
    <row r="297" spans="15:15" x14ac:dyDescent="0.4">
      <c r="O297" s="6"/>
    </row>
    <row r="298" spans="15:15" x14ac:dyDescent="0.4">
      <c r="O298" s="6"/>
    </row>
    <row r="299" spans="15:15" x14ac:dyDescent="0.4">
      <c r="O299" s="6"/>
    </row>
    <row r="300" spans="15:15" x14ac:dyDescent="0.4">
      <c r="O300" s="6"/>
    </row>
    <row r="301" spans="15:15" x14ac:dyDescent="0.4">
      <c r="O301" s="6"/>
    </row>
    <row r="302" spans="15:15" x14ac:dyDescent="0.4">
      <c r="O302" s="6"/>
    </row>
    <row r="303" spans="15:15" x14ac:dyDescent="0.4">
      <c r="O303" s="6"/>
    </row>
    <row r="304" spans="15:15" x14ac:dyDescent="0.4">
      <c r="O304" s="6"/>
    </row>
    <row r="305" spans="15:15" x14ac:dyDescent="0.4">
      <c r="O305" s="6"/>
    </row>
    <row r="306" spans="15:15" x14ac:dyDescent="0.4">
      <c r="O306" s="6"/>
    </row>
    <row r="307" spans="15:15" x14ac:dyDescent="0.4">
      <c r="O307" s="6"/>
    </row>
    <row r="308" spans="15:15" x14ac:dyDescent="0.4">
      <c r="O308" s="6"/>
    </row>
    <row r="309" spans="15:15" x14ac:dyDescent="0.4">
      <c r="O309" s="6"/>
    </row>
    <row r="310" spans="15:15" x14ac:dyDescent="0.4">
      <c r="O310" s="6"/>
    </row>
    <row r="311" spans="15:15" x14ac:dyDescent="0.4">
      <c r="O311" s="6"/>
    </row>
    <row r="312" spans="15:15" x14ac:dyDescent="0.4">
      <c r="O312" s="6"/>
    </row>
    <row r="313" spans="15:15" x14ac:dyDescent="0.4">
      <c r="O313" s="6"/>
    </row>
    <row r="314" spans="15:15" x14ac:dyDescent="0.4">
      <c r="O314" s="6"/>
    </row>
    <row r="315" spans="15:15" x14ac:dyDescent="0.4">
      <c r="O315" s="6"/>
    </row>
    <row r="316" spans="15:15" x14ac:dyDescent="0.4">
      <c r="O316" s="6"/>
    </row>
    <row r="317" spans="15:15" x14ac:dyDescent="0.4">
      <c r="O317" s="6"/>
    </row>
    <row r="318" spans="15:15" x14ac:dyDescent="0.4">
      <c r="O318" s="6"/>
    </row>
    <row r="319" spans="15:15" x14ac:dyDescent="0.4">
      <c r="O319" s="6"/>
    </row>
    <row r="320" spans="15:15" x14ac:dyDescent="0.4">
      <c r="O320" s="6"/>
    </row>
    <row r="321" spans="15:15" x14ac:dyDescent="0.4">
      <c r="O321" s="6"/>
    </row>
    <row r="322" spans="15:15" x14ac:dyDescent="0.4">
      <c r="O322" s="6"/>
    </row>
    <row r="323" spans="15:15" x14ac:dyDescent="0.4">
      <c r="O323" s="6"/>
    </row>
    <row r="324" spans="15:15" x14ac:dyDescent="0.4">
      <c r="O324" s="6"/>
    </row>
    <row r="325" spans="15:15" x14ac:dyDescent="0.4">
      <c r="O325" s="6"/>
    </row>
    <row r="326" spans="15:15" x14ac:dyDescent="0.4">
      <c r="O326" s="6"/>
    </row>
    <row r="327" spans="15:15" x14ac:dyDescent="0.4">
      <c r="O327" s="6"/>
    </row>
    <row r="328" spans="15:15" x14ac:dyDescent="0.4">
      <c r="O328" s="6"/>
    </row>
    <row r="329" spans="15:15" x14ac:dyDescent="0.4">
      <c r="O329" s="6"/>
    </row>
    <row r="330" spans="15:15" x14ac:dyDescent="0.4">
      <c r="O330" s="6"/>
    </row>
    <row r="331" spans="15:15" x14ac:dyDescent="0.4">
      <c r="O331" s="6"/>
    </row>
    <row r="332" spans="15:15" x14ac:dyDescent="0.4">
      <c r="O332" s="6"/>
    </row>
    <row r="333" spans="15:15" x14ac:dyDescent="0.4">
      <c r="O333" s="6"/>
    </row>
    <row r="334" spans="15:15" x14ac:dyDescent="0.4">
      <c r="O334" s="6"/>
    </row>
    <row r="335" spans="15:15" x14ac:dyDescent="0.4">
      <c r="O335" s="6"/>
    </row>
    <row r="336" spans="15:15" x14ac:dyDescent="0.4">
      <c r="O336" s="6"/>
    </row>
    <row r="337" spans="15:15" x14ac:dyDescent="0.4">
      <c r="O337" s="6"/>
    </row>
    <row r="338" spans="15:15" x14ac:dyDescent="0.4">
      <c r="O338" s="6"/>
    </row>
    <row r="339" spans="15:15" x14ac:dyDescent="0.4">
      <c r="O339" s="6"/>
    </row>
    <row r="340" spans="15:15" x14ac:dyDescent="0.4">
      <c r="O340" s="6"/>
    </row>
    <row r="341" spans="15:15" x14ac:dyDescent="0.4">
      <c r="O341" s="6"/>
    </row>
    <row r="342" spans="15:15" x14ac:dyDescent="0.4">
      <c r="O342" s="6"/>
    </row>
    <row r="343" spans="15:15" x14ac:dyDescent="0.4">
      <c r="O343" s="6"/>
    </row>
    <row r="344" spans="15:15" x14ac:dyDescent="0.4">
      <c r="O344" s="6"/>
    </row>
    <row r="345" spans="15:15" x14ac:dyDescent="0.4">
      <c r="O345" s="6"/>
    </row>
    <row r="346" spans="15:15" x14ac:dyDescent="0.4">
      <c r="O346" s="6"/>
    </row>
    <row r="347" spans="15:15" x14ac:dyDescent="0.4">
      <c r="O347" s="6"/>
    </row>
    <row r="348" spans="15:15" x14ac:dyDescent="0.4">
      <c r="O348" s="6"/>
    </row>
    <row r="349" spans="15:15" x14ac:dyDescent="0.4">
      <c r="O349" s="6"/>
    </row>
    <row r="350" spans="15:15" x14ac:dyDescent="0.4">
      <c r="O350" s="6"/>
    </row>
    <row r="351" spans="15:15" x14ac:dyDescent="0.4">
      <c r="O351" s="6"/>
    </row>
    <row r="352" spans="15:15" x14ac:dyDescent="0.4">
      <c r="O352" s="6"/>
    </row>
    <row r="353" spans="15:15" x14ac:dyDescent="0.4">
      <c r="O353" s="6"/>
    </row>
    <row r="354" spans="15:15" x14ac:dyDescent="0.4">
      <c r="O354" s="6"/>
    </row>
    <row r="355" spans="15:15" x14ac:dyDescent="0.4">
      <c r="O355" s="6"/>
    </row>
    <row r="356" spans="15:15" x14ac:dyDescent="0.4">
      <c r="O356" s="6"/>
    </row>
    <row r="357" spans="15:15" x14ac:dyDescent="0.4">
      <c r="O357" s="6"/>
    </row>
    <row r="358" spans="15:15" x14ac:dyDescent="0.4">
      <c r="O358" s="6"/>
    </row>
    <row r="359" spans="15:15" x14ac:dyDescent="0.4">
      <c r="O359" s="6"/>
    </row>
    <row r="360" spans="15:15" x14ac:dyDescent="0.4">
      <c r="O360" s="6"/>
    </row>
    <row r="361" spans="15:15" x14ac:dyDescent="0.4">
      <c r="O361" s="6"/>
    </row>
    <row r="362" spans="15:15" x14ac:dyDescent="0.4">
      <c r="O362" s="6"/>
    </row>
    <row r="363" spans="15:15" x14ac:dyDescent="0.4">
      <c r="O363" s="6"/>
    </row>
    <row r="364" spans="15:15" x14ac:dyDescent="0.4">
      <c r="O364" s="6"/>
    </row>
    <row r="365" spans="15:15" x14ac:dyDescent="0.4">
      <c r="O365" s="6"/>
    </row>
    <row r="366" spans="15:15" x14ac:dyDescent="0.4">
      <c r="O366" s="6"/>
    </row>
    <row r="367" spans="15:15" x14ac:dyDescent="0.4">
      <c r="O367" s="6"/>
    </row>
    <row r="368" spans="15:15" x14ac:dyDescent="0.4">
      <c r="O368" s="6"/>
    </row>
    <row r="369" spans="15:15" x14ac:dyDescent="0.4">
      <c r="O369" s="6"/>
    </row>
    <row r="370" spans="15:15" x14ac:dyDescent="0.4">
      <c r="O370" s="6"/>
    </row>
    <row r="371" spans="15:15" x14ac:dyDescent="0.4">
      <c r="O371" s="6"/>
    </row>
    <row r="372" spans="15:15" x14ac:dyDescent="0.4">
      <c r="O372" s="6"/>
    </row>
    <row r="373" spans="15:15" x14ac:dyDescent="0.4">
      <c r="O373" s="6"/>
    </row>
    <row r="374" spans="15:15" x14ac:dyDescent="0.4">
      <c r="O374" s="6"/>
    </row>
    <row r="375" spans="15:15" x14ac:dyDescent="0.4">
      <c r="O375" s="6"/>
    </row>
    <row r="376" spans="15:15" x14ac:dyDescent="0.4">
      <c r="O376" s="6"/>
    </row>
    <row r="377" spans="15:15" x14ac:dyDescent="0.4">
      <c r="O377" s="6"/>
    </row>
    <row r="378" spans="15:15" x14ac:dyDescent="0.4">
      <c r="O378" s="6"/>
    </row>
    <row r="379" spans="15:15" x14ac:dyDescent="0.4">
      <c r="O379" s="6"/>
    </row>
    <row r="380" spans="15:15" x14ac:dyDescent="0.4">
      <c r="O380" s="6"/>
    </row>
    <row r="381" spans="15:15" x14ac:dyDescent="0.4">
      <c r="O381" s="6"/>
    </row>
    <row r="382" spans="15:15" x14ac:dyDescent="0.4">
      <c r="O382" s="6"/>
    </row>
    <row r="383" spans="15:15" x14ac:dyDescent="0.4">
      <c r="O383" s="6"/>
    </row>
    <row r="384" spans="15:15" x14ac:dyDescent="0.4">
      <c r="O384" s="6"/>
    </row>
    <row r="385" spans="15:15" x14ac:dyDescent="0.4">
      <c r="O385" s="6"/>
    </row>
    <row r="386" spans="15:15" x14ac:dyDescent="0.4">
      <c r="O386" s="6"/>
    </row>
    <row r="387" spans="15:15" x14ac:dyDescent="0.4">
      <c r="O387" s="6"/>
    </row>
    <row r="388" spans="15:15" x14ac:dyDescent="0.4">
      <c r="O388" s="6"/>
    </row>
    <row r="389" spans="15:15" x14ac:dyDescent="0.4">
      <c r="O389" s="6"/>
    </row>
    <row r="390" spans="15:15" x14ac:dyDescent="0.4">
      <c r="O390" s="6"/>
    </row>
    <row r="391" spans="15:15" x14ac:dyDescent="0.4">
      <c r="O391" s="6"/>
    </row>
    <row r="392" spans="15:15" x14ac:dyDescent="0.4">
      <c r="O392" s="6"/>
    </row>
    <row r="393" spans="15:15" x14ac:dyDescent="0.4">
      <c r="O393" s="6"/>
    </row>
    <row r="394" spans="15:15" x14ac:dyDescent="0.4">
      <c r="O394" s="6"/>
    </row>
    <row r="395" spans="15:15" x14ac:dyDescent="0.4">
      <c r="O395" s="6"/>
    </row>
    <row r="396" spans="15:15" x14ac:dyDescent="0.4">
      <c r="O396" s="6"/>
    </row>
    <row r="397" spans="15:15" x14ac:dyDescent="0.4">
      <c r="O397" s="6"/>
    </row>
    <row r="398" spans="15:15" x14ac:dyDescent="0.4">
      <c r="O398" s="6"/>
    </row>
    <row r="399" spans="15:15" x14ac:dyDescent="0.4">
      <c r="O399" s="6"/>
    </row>
    <row r="400" spans="15:15" x14ac:dyDescent="0.4">
      <c r="O400" s="6"/>
    </row>
    <row r="401" spans="15:15" x14ac:dyDescent="0.4">
      <c r="O401" s="6"/>
    </row>
    <row r="402" spans="15:15" x14ac:dyDescent="0.4">
      <c r="O402" s="6"/>
    </row>
    <row r="403" spans="15:15" x14ac:dyDescent="0.4">
      <c r="O403" s="6"/>
    </row>
    <row r="404" spans="15:15" x14ac:dyDescent="0.4">
      <c r="O404" s="6"/>
    </row>
    <row r="405" spans="15:15" x14ac:dyDescent="0.4">
      <c r="O405" s="6"/>
    </row>
    <row r="406" spans="15:15" x14ac:dyDescent="0.4">
      <c r="O406" s="6"/>
    </row>
    <row r="407" spans="15:15" x14ac:dyDescent="0.4">
      <c r="O407" s="6"/>
    </row>
    <row r="408" spans="15:15" x14ac:dyDescent="0.4">
      <c r="O408" s="6"/>
    </row>
    <row r="409" spans="15:15" x14ac:dyDescent="0.4">
      <c r="O409" s="6"/>
    </row>
    <row r="410" spans="15:15" x14ac:dyDescent="0.4">
      <c r="O410" s="6"/>
    </row>
    <row r="411" spans="15:15" x14ac:dyDescent="0.4">
      <c r="O411" s="6"/>
    </row>
    <row r="412" spans="15:15" x14ac:dyDescent="0.4">
      <c r="O412" s="6"/>
    </row>
    <row r="413" spans="15:15" x14ac:dyDescent="0.4">
      <c r="O413" s="6"/>
    </row>
    <row r="414" spans="15:15" x14ac:dyDescent="0.4">
      <c r="O414" s="6"/>
    </row>
    <row r="415" spans="15:15" x14ac:dyDescent="0.4">
      <c r="O415" s="6"/>
    </row>
    <row r="416" spans="15:15" x14ac:dyDescent="0.4">
      <c r="O416" s="6"/>
    </row>
    <row r="417" spans="15:15" x14ac:dyDescent="0.4">
      <c r="O417" s="6"/>
    </row>
    <row r="418" spans="15:15" x14ac:dyDescent="0.4">
      <c r="O418" s="6"/>
    </row>
    <row r="419" spans="15:15" x14ac:dyDescent="0.4">
      <c r="O419" s="6"/>
    </row>
    <row r="420" spans="15:15" x14ac:dyDescent="0.4">
      <c r="O420" s="6"/>
    </row>
    <row r="421" spans="15:15" x14ac:dyDescent="0.4">
      <c r="O421" s="6"/>
    </row>
    <row r="422" spans="15:15" x14ac:dyDescent="0.4">
      <c r="O422" s="6"/>
    </row>
    <row r="423" spans="15:15" x14ac:dyDescent="0.4">
      <c r="O423" s="6"/>
    </row>
    <row r="424" spans="15:15" x14ac:dyDescent="0.4">
      <c r="O424" s="6"/>
    </row>
    <row r="425" spans="15:15" x14ac:dyDescent="0.4">
      <c r="O425" s="6"/>
    </row>
    <row r="426" spans="15:15" x14ac:dyDescent="0.4">
      <c r="O426" s="6"/>
    </row>
    <row r="427" spans="15:15" x14ac:dyDescent="0.4">
      <c r="O427" s="6"/>
    </row>
    <row r="428" spans="15:15" x14ac:dyDescent="0.4">
      <c r="O428" s="6"/>
    </row>
    <row r="429" spans="15:15" x14ac:dyDescent="0.4">
      <c r="O429" s="6"/>
    </row>
    <row r="430" spans="15:15" x14ac:dyDescent="0.4">
      <c r="O430" s="6"/>
    </row>
    <row r="431" spans="15:15" x14ac:dyDescent="0.4">
      <c r="O431" s="6"/>
    </row>
    <row r="432" spans="15:15" x14ac:dyDescent="0.4">
      <c r="O432" s="6"/>
    </row>
    <row r="433" spans="15:15" x14ac:dyDescent="0.4">
      <c r="O433" s="6"/>
    </row>
    <row r="434" spans="15:15" x14ac:dyDescent="0.4">
      <c r="O434" s="6"/>
    </row>
    <row r="435" spans="15:15" x14ac:dyDescent="0.4">
      <c r="O435" s="6"/>
    </row>
    <row r="436" spans="15:15" x14ac:dyDescent="0.4">
      <c r="O436" s="6"/>
    </row>
    <row r="437" spans="15:15" x14ac:dyDescent="0.4">
      <c r="O437" s="6"/>
    </row>
    <row r="438" spans="15:15" x14ac:dyDescent="0.4">
      <c r="O438" s="6"/>
    </row>
    <row r="439" spans="15:15" x14ac:dyDescent="0.4">
      <c r="O439" s="6"/>
    </row>
    <row r="440" spans="15:15" x14ac:dyDescent="0.4">
      <c r="O440" s="6"/>
    </row>
    <row r="441" spans="15:15" x14ac:dyDescent="0.4">
      <c r="O441" s="6"/>
    </row>
    <row r="442" spans="15:15" x14ac:dyDescent="0.4">
      <c r="O442" s="6"/>
    </row>
    <row r="443" spans="15:15" x14ac:dyDescent="0.4">
      <c r="O443" s="6"/>
    </row>
    <row r="444" spans="15:15" x14ac:dyDescent="0.4">
      <c r="O444" s="6"/>
    </row>
    <row r="445" spans="15:15" x14ac:dyDescent="0.4">
      <c r="O445" s="6"/>
    </row>
    <row r="446" spans="15:15" x14ac:dyDescent="0.4">
      <c r="O446" s="6"/>
    </row>
    <row r="447" spans="15:15" x14ac:dyDescent="0.4">
      <c r="O447" s="6"/>
    </row>
    <row r="448" spans="15:15" x14ac:dyDescent="0.4">
      <c r="O448" s="6"/>
    </row>
    <row r="449" spans="15:15" x14ac:dyDescent="0.4">
      <c r="O449" s="6"/>
    </row>
    <row r="450" spans="15:15" x14ac:dyDescent="0.4">
      <c r="O450" s="6"/>
    </row>
    <row r="451" spans="15:15" x14ac:dyDescent="0.4">
      <c r="O451" s="6"/>
    </row>
    <row r="452" spans="15:15" x14ac:dyDescent="0.4">
      <c r="O452" s="6"/>
    </row>
    <row r="453" spans="15:15" x14ac:dyDescent="0.4">
      <c r="O453" s="6"/>
    </row>
    <row r="454" spans="15:15" x14ac:dyDescent="0.4">
      <c r="O454" s="6"/>
    </row>
    <row r="455" spans="15:15" x14ac:dyDescent="0.4">
      <c r="O455" s="6"/>
    </row>
    <row r="456" spans="15:15" x14ac:dyDescent="0.4">
      <c r="O456" s="6"/>
    </row>
    <row r="457" spans="15:15" x14ac:dyDescent="0.4">
      <c r="O457" s="6"/>
    </row>
    <row r="458" spans="15:15" x14ac:dyDescent="0.4">
      <c r="O458" s="6"/>
    </row>
    <row r="459" spans="15:15" x14ac:dyDescent="0.4">
      <c r="O459" s="6"/>
    </row>
    <row r="460" spans="15:15" x14ac:dyDescent="0.4">
      <c r="O460" s="6"/>
    </row>
    <row r="461" spans="15:15" x14ac:dyDescent="0.4">
      <c r="O461" s="6"/>
    </row>
    <row r="462" spans="15:15" x14ac:dyDescent="0.4">
      <c r="O462" s="6"/>
    </row>
    <row r="463" spans="15:15" x14ac:dyDescent="0.4">
      <c r="O463" s="6"/>
    </row>
    <row r="464" spans="15:15" x14ac:dyDescent="0.4">
      <c r="O464" s="6"/>
    </row>
    <row r="465" spans="15:15" x14ac:dyDescent="0.4">
      <c r="O465" s="6"/>
    </row>
    <row r="466" spans="15:15" x14ac:dyDescent="0.4">
      <c r="O466" s="6"/>
    </row>
    <row r="467" spans="15:15" x14ac:dyDescent="0.4">
      <c r="O467" s="6"/>
    </row>
    <row r="468" spans="15:15" x14ac:dyDescent="0.4">
      <c r="O468" s="6"/>
    </row>
    <row r="469" spans="15:15" x14ac:dyDescent="0.4">
      <c r="O469" s="6"/>
    </row>
    <row r="470" spans="15:15" x14ac:dyDescent="0.4">
      <c r="O470" s="6"/>
    </row>
    <row r="471" spans="15:15" x14ac:dyDescent="0.4">
      <c r="O471" s="6"/>
    </row>
    <row r="472" spans="15:15" x14ac:dyDescent="0.4">
      <c r="O472" s="6"/>
    </row>
    <row r="473" spans="15:15" x14ac:dyDescent="0.4">
      <c r="O473" s="6"/>
    </row>
    <row r="474" spans="15:15" x14ac:dyDescent="0.4">
      <c r="O474" s="6"/>
    </row>
    <row r="475" spans="15:15" x14ac:dyDescent="0.4">
      <c r="O475" s="6"/>
    </row>
    <row r="476" spans="15:15" x14ac:dyDescent="0.4">
      <c r="O476" s="6"/>
    </row>
    <row r="477" spans="15:15" x14ac:dyDescent="0.4">
      <c r="O477" s="6"/>
    </row>
    <row r="478" spans="15:15" x14ac:dyDescent="0.4">
      <c r="O478" s="6"/>
    </row>
    <row r="479" spans="15:15" x14ac:dyDescent="0.4">
      <c r="O479" s="6"/>
    </row>
    <row r="480" spans="15:15" x14ac:dyDescent="0.4">
      <c r="O480" s="6"/>
    </row>
    <row r="481" spans="15:15" x14ac:dyDescent="0.4">
      <c r="O481" s="6"/>
    </row>
    <row r="482" spans="15:15" x14ac:dyDescent="0.4">
      <c r="O482" s="6"/>
    </row>
    <row r="483" spans="15:15" x14ac:dyDescent="0.4">
      <c r="O483" s="6"/>
    </row>
    <row r="484" spans="15:15" x14ac:dyDescent="0.4">
      <c r="O484" s="6"/>
    </row>
    <row r="485" spans="15:15" x14ac:dyDescent="0.4">
      <c r="O485" s="6"/>
    </row>
    <row r="486" spans="15:15" x14ac:dyDescent="0.4">
      <c r="O486" s="6"/>
    </row>
    <row r="487" spans="15:15" x14ac:dyDescent="0.4">
      <c r="O487" s="6"/>
    </row>
    <row r="488" spans="15:15" x14ac:dyDescent="0.4">
      <c r="O488" s="6"/>
    </row>
    <row r="489" spans="15:15" x14ac:dyDescent="0.4">
      <c r="O489" s="6"/>
    </row>
    <row r="490" spans="15:15" x14ac:dyDescent="0.4">
      <c r="O490" s="6"/>
    </row>
    <row r="491" spans="15:15" x14ac:dyDescent="0.4">
      <c r="O491" s="6"/>
    </row>
    <row r="492" spans="15:15" x14ac:dyDescent="0.4">
      <c r="O492" s="6"/>
    </row>
    <row r="493" spans="15:15" x14ac:dyDescent="0.4">
      <c r="O493" s="6"/>
    </row>
    <row r="494" spans="15:15" x14ac:dyDescent="0.4">
      <c r="O494" s="6"/>
    </row>
    <row r="495" spans="15:15" x14ac:dyDescent="0.4">
      <c r="O495" s="6"/>
    </row>
    <row r="496" spans="15:15" x14ac:dyDescent="0.4">
      <c r="O496" s="6"/>
    </row>
    <row r="497" spans="15:15" x14ac:dyDescent="0.4">
      <c r="O497" s="6"/>
    </row>
    <row r="498" spans="15:15" x14ac:dyDescent="0.4">
      <c r="O498" s="6"/>
    </row>
    <row r="499" spans="15:15" x14ac:dyDescent="0.4">
      <c r="O499" s="6"/>
    </row>
    <row r="500" spans="15:15" x14ac:dyDescent="0.4">
      <c r="O500" s="6"/>
    </row>
    <row r="501" spans="15:15" x14ac:dyDescent="0.4">
      <c r="O501" s="6"/>
    </row>
    <row r="502" spans="15:15" x14ac:dyDescent="0.4">
      <c r="O502" s="6"/>
    </row>
    <row r="503" spans="15:15" x14ac:dyDescent="0.4">
      <c r="O503" s="6"/>
    </row>
    <row r="504" spans="15:15" x14ac:dyDescent="0.4">
      <c r="O504" s="6"/>
    </row>
    <row r="505" spans="15:15" x14ac:dyDescent="0.4">
      <c r="O505" s="6"/>
    </row>
    <row r="506" spans="15:15" x14ac:dyDescent="0.4">
      <c r="O506" s="6"/>
    </row>
    <row r="507" spans="15:15" x14ac:dyDescent="0.4">
      <c r="O507" s="6"/>
    </row>
    <row r="508" spans="15:15" x14ac:dyDescent="0.4">
      <c r="O508" s="6"/>
    </row>
    <row r="509" spans="15:15" x14ac:dyDescent="0.4">
      <c r="O509" s="6"/>
    </row>
    <row r="510" spans="15:15" x14ac:dyDescent="0.4">
      <c r="O510" s="6"/>
    </row>
    <row r="511" spans="15:15" x14ac:dyDescent="0.4">
      <c r="O511" s="6"/>
    </row>
    <row r="512" spans="15:15" x14ac:dyDescent="0.4">
      <c r="O512" s="6"/>
    </row>
    <row r="513" spans="15:15" x14ac:dyDescent="0.4">
      <c r="O513" s="6"/>
    </row>
    <row r="514" spans="15:15" x14ac:dyDescent="0.4">
      <c r="O514" s="6"/>
    </row>
    <row r="515" spans="15:15" x14ac:dyDescent="0.4">
      <c r="O515" s="6"/>
    </row>
    <row r="516" spans="15:15" x14ac:dyDescent="0.4">
      <c r="O516" s="6"/>
    </row>
    <row r="517" spans="15:15" x14ac:dyDescent="0.4">
      <c r="O517" s="6"/>
    </row>
    <row r="518" spans="15:15" x14ac:dyDescent="0.4">
      <c r="O518" s="6"/>
    </row>
    <row r="519" spans="15:15" x14ac:dyDescent="0.4">
      <c r="O519" s="6"/>
    </row>
    <row r="520" spans="15:15" x14ac:dyDescent="0.4">
      <c r="O520" s="6"/>
    </row>
    <row r="521" spans="15:15" x14ac:dyDescent="0.4">
      <c r="O521" s="6"/>
    </row>
    <row r="522" spans="15:15" x14ac:dyDescent="0.4">
      <c r="O522" s="6"/>
    </row>
    <row r="523" spans="15:15" x14ac:dyDescent="0.4">
      <c r="O523" s="6"/>
    </row>
    <row r="524" spans="15:15" x14ac:dyDescent="0.4">
      <c r="O524" s="6"/>
    </row>
    <row r="525" spans="15:15" x14ac:dyDescent="0.4">
      <c r="O525" s="6"/>
    </row>
    <row r="526" spans="15:15" x14ac:dyDescent="0.4">
      <c r="O526" s="6"/>
    </row>
    <row r="527" spans="15:15" x14ac:dyDescent="0.4">
      <c r="O527" s="6"/>
    </row>
    <row r="528" spans="15:15" x14ac:dyDescent="0.4">
      <c r="O528" s="6"/>
    </row>
    <row r="529" spans="15:15" x14ac:dyDescent="0.4">
      <c r="O529" s="6"/>
    </row>
    <row r="530" spans="15:15" x14ac:dyDescent="0.4">
      <c r="O530" s="6"/>
    </row>
    <row r="531" spans="15:15" x14ac:dyDescent="0.4">
      <c r="O531" s="6"/>
    </row>
    <row r="532" spans="15:15" x14ac:dyDescent="0.4">
      <c r="O532" s="6"/>
    </row>
    <row r="533" spans="15:15" x14ac:dyDescent="0.4">
      <c r="O533" s="6"/>
    </row>
    <row r="534" spans="15:15" x14ac:dyDescent="0.4">
      <c r="O534" s="6"/>
    </row>
    <row r="535" spans="15:15" x14ac:dyDescent="0.4">
      <c r="O535" s="6"/>
    </row>
    <row r="536" spans="15:15" x14ac:dyDescent="0.4">
      <c r="O536" s="6"/>
    </row>
    <row r="537" spans="15:15" x14ac:dyDescent="0.4">
      <c r="O537" s="6"/>
    </row>
    <row r="538" spans="15:15" x14ac:dyDescent="0.4">
      <c r="O538" s="6"/>
    </row>
    <row r="539" spans="15:15" x14ac:dyDescent="0.4">
      <c r="O539" s="6"/>
    </row>
    <row r="540" spans="15:15" x14ac:dyDescent="0.4">
      <c r="O540" s="6"/>
    </row>
    <row r="541" spans="15:15" x14ac:dyDescent="0.4">
      <c r="O541" s="6"/>
    </row>
    <row r="542" spans="15:15" x14ac:dyDescent="0.4">
      <c r="O542" s="6"/>
    </row>
    <row r="543" spans="15:15" x14ac:dyDescent="0.4">
      <c r="O543" s="6"/>
    </row>
    <row r="544" spans="15:15" x14ac:dyDescent="0.4">
      <c r="O544" s="6"/>
    </row>
    <row r="545" spans="15:15" x14ac:dyDescent="0.4">
      <c r="O545" s="6"/>
    </row>
    <row r="546" spans="15:15" x14ac:dyDescent="0.4">
      <c r="O546" s="6"/>
    </row>
    <row r="547" spans="15:15" x14ac:dyDescent="0.4">
      <c r="O547" s="6"/>
    </row>
    <row r="548" spans="15:15" x14ac:dyDescent="0.4">
      <c r="O548" s="6"/>
    </row>
    <row r="549" spans="15:15" x14ac:dyDescent="0.4">
      <c r="O549" s="6"/>
    </row>
    <row r="550" spans="15:15" x14ac:dyDescent="0.4">
      <c r="O550" s="6"/>
    </row>
    <row r="551" spans="15:15" x14ac:dyDescent="0.4">
      <c r="O551" s="6"/>
    </row>
    <row r="552" spans="15:15" x14ac:dyDescent="0.4">
      <c r="O552" s="6"/>
    </row>
    <row r="553" spans="15:15" x14ac:dyDescent="0.4">
      <c r="O553" s="6"/>
    </row>
    <row r="554" spans="15:15" x14ac:dyDescent="0.4">
      <c r="O554" s="6"/>
    </row>
    <row r="555" spans="15:15" x14ac:dyDescent="0.4">
      <c r="O555" s="6"/>
    </row>
    <row r="556" spans="15:15" x14ac:dyDescent="0.4">
      <c r="O556" s="6"/>
    </row>
    <row r="557" spans="15:15" x14ac:dyDescent="0.4">
      <c r="O557" s="6"/>
    </row>
    <row r="558" spans="15:15" x14ac:dyDescent="0.4">
      <c r="O558" s="6"/>
    </row>
    <row r="559" spans="15:15" x14ac:dyDescent="0.4">
      <c r="O559" s="6"/>
    </row>
    <row r="560" spans="15:15" x14ac:dyDescent="0.4">
      <c r="O560" s="6"/>
    </row>
    <row r="561" spans="15:15" x14ac:dyDescent="0.4">
      <c r="O561" s="6"/>
    </row>
    <row r="562" spans="15:15" x14ac:dyDescent="0.4">
      <c r="O562" s="6"/>
    </row>
    <row r="563" spans="15:15" x14ac:dyDescent="0.4">
      <c r="O563" s="6"/>
    </row>
    <row r="564" spans="15:15" x14ac:dyDescent="0.4">
      <c r="O564" s="6"/>
    </row>
    <row r="565" spans="15:15" x14ac:dyDescent="0.4">
      <c r="O565" s="6"/>
    </row>
    <row r="566" spans="15:15" x14ac:dyDescent="0.4">
      <c r="O566" s="6"/>
    </row>
    <row r="567" spans="15:15" x14ac:dyDescent="0.4">
      <c r="O567" s="6"/>
    </row>
    <row r="568" spans="15:15" x14ac:dyDescent="0.4">
      <c r="O568" s="6"/>
    </row>
    <row r="569" spans="15:15" x14ac:dyDescent="0.4">
      <c r="O569" s="6"/>
    </row>
    <row r="570" spans="15:15" x14ac:dyDescent="0.4">
      <c r="O570" s="6"/>
    </row>
    <row r="571" spans="15:15" x14ac:dyDescent="0.4">
      <c r="O571" s="6"/>
    </row>
    <row r="572" spans="15:15" x14ac:dyDescent="0.4">
      <c r="O572" s="6"/>
    </row>
    <row r="573" spans="15:15" x14ac:dyDescent="0.4">
      <c r="O573" s="6"/>
    </row>
    <row r="574" spans="15:15" x14ac:dyDescent="0.4">
      <c r="O574" s="6"/>
    </row>
    <row r="575" spans="15:15" x14ac:dyDescent="0.4">
      <c r="O575" s="6"/>
    </row>
    <row r="576" spans="15:15" x14ac:dyDescent="0.4">
      <c r="O576" s="6"/>
    </row>
    <row r="577" spans="15:15" x14ac:dyDescent="0.4">
      <c r="O577" s="6"/>
    </row>
    <row r="578" spans="15:15" x14ac:dyDescent="0.4">
      <c r="O578" s="6"/>
    </row>
    <row r="579" spans="15:15" x14ac:dyDescent="0.4">
      <c r="O579" s="6"/>
    </row>
    <row r="580" spans="15:15" x14ac:dyDescent="0.4">
      <c r="O580" s="6"/>
    </row>
    <row r="581" spans="15:15" x14ac:dyDescent="0.4">
      <c r="O581" s="6"/>
    </row>
    <row r="582" spans="15:15" x14ac:dyDescent="0.4">
      <c r="O582" s="6"/>
    </row>
    <row r="583" spans="15:15" x14ac:dyDescent="0.4">
      <c r="O583" s="6"/>
    </row>
    <row r="584" spans="15:15" x14ac:dyDescent="0.4">
      <c r="O584" s="6"/>
    </row>
    <row r="585" spans="15:15" x14ac:dyDescent="0.4">
      <c r="O585" s="6"/>
    </row>
    <row r="586" spans="15:15" x14ac:dyDescent="0.4">
      <c r="O586" s="6"/>
    </row>
    <row r="587" spans="15:15" x14ac:dyDescent="0.4">
      <c r="O587" s="6"/>
    </row>
    <row r="588" spans="15:15" x14ac:dyDescent="0.4">
      <c r="O588" s="6"/>
    </row>
    <row r="589" spans="15:15" x14ac:dyDescent="0.4">
      <c r="O589" s="6"/>
    </row>
    <row r="590" spans="15:15" x14ac:dyDescent="0.4">
      <c r="O590" s="6"/>
    </row>
    <row r="591" spans="15:15" x14ac:dyDescent="0.4">
      <c r="O591" s="6"/>
    </row>
    <row r="592" spans="15:15" x14ac:dyDescent="0.4">
      <c r="O592" s="6"/>
    </row>
    <row r="593" spans="15:15" x14ac:dyDescent="0.4">
      <c r="O593" s="6"/>
    </row>
    <row r="594" spans="15:15" x14ac:dyDescent="0.4">
      <c r="O594" s="6"/>
    </row>
    <row r="595" spans="15:15" x14ac:dyDescent="0.4">
      <c r="O595" s="6"/>
    </row>
    <row r="596" spans="15:15" x14ac:dyDescent="0.4">
      <c r="O596" s="6"/>
    </row>
    <row r="597" spans="15:15" x14ac:dyDescent="0.4">
      <c r="O597" s="6"/>
    </row>
    <row r="598" spans="15:15" x14ac:dyDescent="0.4">
      <c r="O598" s="6"/>
    </row>
    <row r="599" spans="15:15" x14ac:dyDescent="0.4">
      <c r="O599" s="6"/>
    </row>
    <row r="600" spans="15:15" x14ac:dyDescent="0.4">
      <c r="O600" s="6"/>
    </row>
    <row r="601" spans="15:15" x14ac:dyDescent="0.4">
      <c r="O601" s="6"/>
    </row>
    <row r="602" spans="15:15" x14ac:dyDescent="0.4">
      <c r="O602" s="6"/>
    </row>
    <row r="603" spans="15:15" x14ac:dyDescent="0.4">
      <c r="O603" s="6"/>
    </row>
    <row r="604" spans="15:15" x14ac:dyDescent="0.4">
      <c r="O604" s="6"/>
    </row>
    <row r="605" spans="15:15" x14ac:dyDescent="0.4">
      <c r="O605" s="6"/>
    </row>
    <row r="606" spans="15:15" x14ac:dyDescent="0.4">
      <c r="O606" s="6"/>
    </row>
    <row r="607" spans="15:15" x14ac:dyDescent="0.4">
      <c r="O607" s="6"/>
    </row>
    <row r="608" spans="15:15" x14ac:dyDescent="0.4">
      <c r="O608" s="6"/>
    </row>
    <row r="609" spans="15:15" x14ac:dyDescent="0.4">
      <c r="O609" s="6"/>
    </row>
    <row r="610" spans="15:15" x14ac:dyDescent="0.4">
      <c r="O610" s="6"/>
    </row>
    <row r="611" spans="15:15" x14ac:dyDescent="0.4">
      <c r="O611" s="6"/>
    </row>
    <row r="612" spans="15:15" x14ac:dyDescent="0.4">
      <c r="O612" s="6"/>
    </row>
    <row r="613" spans="15:15" x14ac:dyDescent="0.4">
      <c r="O613" s="6"/>
    </row>
    <row r="614" spans="15:15" x14ac:dyDescent="0.4">
      <c r="O614" s="6"/>
    </row>
    <row r="615" spans="15:15" x14ac:dyDescent="0.4">
      <c r="O615" s="6"/>
    </row>
    <row r="616" spans="15:15" x14ac:dyDescent="0.4">
      <c r="O616" s="6"/>
    </row>
    <row r="617" spans="15:15" x14ac:dyDescent="0.4">
      <c r="O617" s="6"/>
    </row>
    <row r="618" spans="15:15" x14ac:dyDescent="0.4">
      <c r="O618" s="6"/>
    </row>
    <row r="619" spans="15:15" x14ac:dyDescent="0.4">
      <c r="O619" s="6"/>
    </row>
    <row r="620" spans="15:15" x14ac:dyDescent="0.4">
      <c r="O620" s="6"/>
    </row>
    <row r="621" spans="15:15" x14ac:dyDescent="0.4">
      <c r="O621" s="6"/>
    </row>
    <row r="622" spans="15:15" x14ac:dyDescent="0.4">
      <c r="O622" s="6"/>
    </row>
    <row r="623" spans="15:15" x14ac:dyDescent="0.4">
      <c r="O623" s="6"/>
    </row>
    <row r="624" spans="15:15" x14ac:dyDescent="0.4">
      <c r="O624" s="6"/>
    </row>
    <row r="625" spans="15:15" x14ac:dyDescent="0.4">
      <c r="O625" s="6"/>
    </row>
    <row r="626" spans="15:15" x14ac:dyDescent="0.4">
      <c r="O626" s="6"/>
    </row>
    <row r="627" spans="15:15" x14ac:dyDescent="0.4">
      <c r="O627" s="6"/>
    </row>
    <row r="628" spans="15:15" x14ac:dyDescent="0.4">
      <c r="O628" s="6"/>
    </row>
    <row r="629" spans="15:15" x14ac:dyDescent="0.4">
      <c r="O629" s="6"/>
    </row>
    <row r="630" spans="15:15" x14ac:dyDescent="0.4">
      <c r="O630" s="6"/>
    </row>
    <row r="631" spans="15:15" x14ac:dyDescent="0.4">
      <c r="O631" s="6"/>
    </row>
    <row r="632" spans="15:15" x14ac:dyDescent="0.4">
      <c r="O632" s="6"/>
    </row>
    <row r="633" spans="15:15" x14ac:dyDescent="0.4">
      <c r="O633" s="6"/>
    </row>
    <row r="634" spans="15:15" x14ac:dyDescent="0.4">
      <c r="O634" s="6"/>
    </row>
    <row r="635" spans="15:15" x14ac:dyDescent="0.4">
      <c r="O635" s="6"/>
    </row>
    <row r="636" spans="15:15" x14ac:dyDescent="0.4">
      <c r="O636" s="6"/>
    </row>
    <row r="637" spans="15:15" x14ac:dyDescent="0.4">
      <c r="O637" s="6"/>
    </row>
    <row r="638" spans="15:15" x14ac:dyDescent="0.4">
      <c r="O638" s="6"/>
    </row>
    <row r="639" spans="15:15" x14ac:dyDescent="0.4">
      <c r="O639" s="6"/>
    </row>
    <row r="640" spans="15:15" x14ac:dyDescent="0.4">
      <c r="O640" s="6"/>
    </row>
    <row r="641" spans="15:15" x14ac:dyDescent="0.4">
      <c r="O641" s="6"/>
    </row>
    <row r="642" spans="15:15" x14ac:dyDescent="0.4">
      <c r="O642" s="6"/>
    </row>
    <row r="643" spans="15:15" x14ac:dyDescent="0.4">
      <c r="O643" s="6"/>
    </row>
    <row r="644" spans="15:15" x14ac:dyDescent="0.4">
      <c r="O644" s="6"/>
    </row>
    <row r="645" spans="15:15" x14ac:dyDescent="0.4">
      <c r="O645" s="6"/>
    </row>
    <row r="646" spans="15:15" x14ac:dyDescent="0.4">
      <c r="O646" s="6"/>
    </row>
    <row r="647" spans="15:15" x14ac:dyDescent="0.4">
      <c r="O647" s="6"/>
    </row>
    <row r="648" spans="15:15" x14ac:dyDescent="0.4">
      <c r="O648" s="6"/>
    </row>
    <row r="649" spans="15:15" x14ac:dyDescent="0.4">
      <c r="O649" s="6"/>
    </row>
    <row r="650" spans="15:15" x14ac:dyDescent="0.4">
      <c r="O650" s="6"/>
    </row>
    <row r="651" spans="15:15" x14ac:dyDescent="0.4">
      <c r="O651" s="6"/>
    </row>
    <row r="652" spans="15:15" x14ac:dyDescent="0.4">
      <c r="O652" s="6"/>
    </row>
    <row r="653" spans="15:15" x14ac:dyDescent="0.4">
      <c r="O653" s="6"/>
    </row>
    <row r="654" spans="15:15" x14ac:dyDescent="0.4">
      <c r="O654" s="6"/>
    </row>
    <row r="655" spans="15:15" x14ac:dyDescent="0.4">
      <c r="O655" s="6"/>
    </row>
    <row r="656" spans="15:15" x14ac:dyDescent="0.4">
      <c r="O656" s="6"/>
    </row>
    <row r="657" spans="15:15" x14ac:dyDescent="0.4">
      <c r="O657" s="6"/>
    </row>
    <row r="658" spans="15:15" x14ac:dyDescent="0.4">
      <c r="O658" s="6"/>
    </row>
    <row r="659" spans="15:15" x14ac:dyDescent="0.4">
      <c r="O659" s="6"/>
    </row>
    <row r="660" spans="15:15" x14ac:dyDescent="0.4">
      <c r="O660" s="6"/>
    </row>
    <row r="661" spans="15:15" x14ac:dyDescent="0.4">
      <c r="O661" s="6"/>
    </row>
    <row r="662" spans="15:15" x14ac:dyDescent="0.4">
      <c r="O662" s="6"/>
    </row>
    <row r="663" spans="15:15" x14ac:dyDescent="0.4">
      <c r="O663" s="6"/>
    </row>
    <row r="664" spans="15:15" x14ac:dyDescent="0.4">
      <c r="O664" s="6"/>
    </row>
    <row r="665" spans="15:15" x14ac:dyDescent="0.4">
      <c r="O665" s="6"/>
    </row>
    <row r="666" spans="15:15" x14ac:dyDescent="0.4">
      <c r="O666" s="6"/>
    </row>
    <row r="667" spans="15:15" x14ac:dyDescent="0.4">
      <c r="O667" s="6"/>
    </row>
    <row r="668" spans="15:15" x14ac:dyDescent="0.4">
      <c r="O668" s="6"/>
    </row>
    <row r="669" spans="15:15" x14ac:dyDescent="0.4">
      <c r="O669" s="6"/>
    </row>
    <row r="670" spans="15:15" x14ac:dyDescent="0.4">
      <c r="O670" s="6"/>
    </row>
    <row r="671" spans="15:15" x14ac:dyDescent="0.4">
      <c r="O671" s="6"/>
    </row>
    <row r="672" spans="15:15" x14ac:dyDescent="0.4">
      <c r="O672" s="6"/>
    </row>
    <row r="673" spans="15:15" x14ac:dyDescent="0.4">
      <c r="O673" s="6"/>
    </row>
    <row r="674" spans="15:15" x14ac:dyDescent="0.4">
      <c r="O674" s="6"/>
    </row>
    <row r="675" spans="15:15" x14ac:dyDescent="0.4">
      <c r="O675" s="6"/>
    </row>
    <row r="676" spans="15:15" x14ac:dyDescent="0.4">
      <c r="O676" s="6"/>
    </row>
    <row r="677" spans="15:15" x14ac:dyDescent="0.4">
      <c r="O677" s="6"/>
    </row>
    <row r="678" spans="15:15" x14ac:dyDescent="0.4">
      <c r="O678" s="6"/>
    </row>
    <row r="679" spans="15:15" x14ac:dyDescent="0.4">
      <c r="O679" s="6"/>
    </row>
    <row r="680" spans="15:15" x14ac:dyDescent="0.4">
      <c r="O680" s="6"/>
    </row>
    <row r="681" spans="15:15" x14ac:dyDescent="0.4">
      <c r="O681" s="6"/>
    </row>
    <row r="682" spans="15:15" x14ac:dyDescent="0.4">
      <c r="O682" s="6"/>
    </row>
    <row r="683" spans="15:15" x14ac:dyDescent="0.4">
      <c r="O683" s="6"/>
    </row>
    <row r="684" spans="15:15" x14ac:dyDescent="0.4">
      <c r="O684" s="6"/>
    </row>
    <row r="685" spans="15:15" x14ac:dyDescent="0.4">
      <c r="O685" s="6"/>
    </row>
    <row r="686" spans="15:15" x14ac:dyDescent="0.4">
      <c r="O686" s="6"/>
    </row>
    <row r="687" spans="15:15" x14ac:dyDescent="0.4">
      <c r="O687" s="6"/>
    </row>
    <row r="688" spans="15:15" x14ac:dyDescent="0.4">
      <c r="O688" s="6"/>
    </row>
    <row r="689" spans="15:15" x14ac:dyDescent="0.4">
      <c r="O689" s="6"/>
    </row>
    <row r="690" spans="15:15" x14ac:dyDescent="0.4">
      <c r="O690" s="6"/>
    </row>
    <row r="691" spans="15:15" x14ac:dyDescent="0.4">
      <c r="O691" s="6"/>
    </row>
    <row r="692" spans="15:15" x14ac:dyDescent="0.4">
      <c r="O692" s="6"/>
    </row>
    <row r="693" spans="15:15" x14ac:dyDescent="0.4">
      <c r="O693" s="6"/>
    </row>
    <row r="694" spans="15:15" x14ac:dyDescent="0.4">
      <c r="O694" s="6"/>
    </row>
    <row r="695" spans="15:15" x14ac:dyDescent="0.4">
      <c r="O695" s="6"/>
    </row>
    <row r="696" spans="15:15" x14ac:dyDescent="0.4">
      <c r="O696" s="6"/>
    </row>
    <row r="697" spans="15:15" x14ac:dyDescent="0.4">
      <c r="O697" s="6"/>
    </row>
    <row r="698" spans="15:15" x14ac:dyDescent="0.4">
      <c r="O698" s="6"/>
    </row>
    <row r="699" spans="15:15" x14ac:dyDescent="0.4">
      <c r="O699" s="6"/>
    </row>
    <row r="700" spans="15:15" x14ac:dyDescent="0.4">
      <c r="O700" s="6"/>
    </row>
    <row r="701" spans="15:15" x14ac:dyDescent="0.4">
      <c r="O701" s="6"/>
    </row>
    <row r="702" spans="15:15" x14ac:dyDescent="0.4">
      <c r="O702" s="6"/>
    </row>
    <row r="703" spans="15:15" x14ac:dyDescent="0.4">
      <c r="O703" s="6"/>
    </row>
    <row r="704" spans="15:15" x14ac:dyDescent="0.4">
      <c r="O704" s="6"/>
    </row>
    <row r="705" spans="15:15" x14ac:dyDescent="0.4">
      <c r="O705" s="6"/>
    </row>
    <row r="706" spans="15:15" x14ac:dyDescent="0.4">
      <c r="O706" s="6"/>
    </row>
    <row r="707" spans="15:15" x14ac:dyDescent="0.4">
      <c r="O707" s="6"/>
    </row>
    <row r="708" spans="15:15" x14ac:dyDescent="0.4">
      <c r="O708" s="6"/>
    </row>
    <row r="709" spans="15:15" x14ac:dyDescent="0.4">
      <c r="O709" s="6"/>
    </row>
    <row r="710" spans="15:15" x14ac:dyDescent="0.4">
      <c r="O710" s="6"/>
    </row>
    <row r="711" spans="15:15" x14ac:dyDescent="0.4">
      <c r="O711" s="6"/>
    </row>
    <row r="712" spans="15:15" x14ac:dyDescent="0.4">
      <c r="O712" s="6"/>
    </row>
    <row r="713" spans="15:15" x14ac:dyDescent="0.4">
      <c r="O713" s="6"/>
    </row>
    <row r="714" spans="15:15" x14ac:dyDescent="0.4">
      <c r="O714" s="6"/>
    </row>
    <row r="715" spans="15:15" x14ac:dyDescent="0.4">
      <c r="O715" s="6"/>
    </row>
    <row r="716" spans="15:15" x14ac:dyDescent="0.4">
      <c r="O716" s="6"/>
    </row>
    <row r="717" spans="15:15" x14ac:dyDescent="0.4">
      <c r="O717" s="6"/>
    </row>
    <row r="718" spans="15:15" x14ac:dyDescent="0.4">
      <c r="O718" s="6"/>
    </row>
    <row r="719" spans="15:15" x14ac:dyDescent="0.4">
      <c r="O719" s="6"/>
    </row>
    <row r="720" spans="15:15" x14ac:dyDescent="0.4">
      <c r="O720" s="6"/>
    </row>
    <row r="721" spans="15:15" x14ac:dyDescent="0.4">
      <c r="O721" s="6"/>
    </row>
    <row r="722" spans="15:15" x14ac:dyDescent="0.4">
      <c r="O722" s="6"/>
    </row>
    <row r="723" spans="15:15" x14ac:dyDescent="0.4">
      <c r="O723" s="6"/>
    </row>
    <row r="724" spans="15:15" x14ac:dyDescent="0.4">
      <c r="O724" s="6"/>
    </row>
    <row r="725" spans="15:15" x14ac:dyDescent="0.4">
      <c r="O725" s="6"/>
    </row>
    <row r="726" spans="15:15" x14ac:dyDescent="0.4">
      <c r="O726" s="6"/>
    </row>
    <row r="727" spans="15:15" x14ac:dyDescent="0.4">
      <c r="O727" s="6"/>
    </row>
    <row r="728" spans="15:15" x14ac:dyDescent="0.4">
      <c r="O728" s="6"/>
    </row>
    <row r="729" spans="15:15" x14ac:dyDescent="0.4">
      <c r="O729" s="6"/>
    </row>
    <row r="730" spans="15:15" x14ac:dyDescent="0.4">
      <c r="O730" s="6"/>
    </row>
    <row r="731" spans="15:15" x14ac:dyDescent="0.4">
      <c r="O731" s="6"/>
    </row>
    <row r="732" spans="15:15" x14ac:dyDescent="0.4">
      <c r="O732" s="6"/>
    </row>
    <row r="733" spans="15:15" x14ac:dyDescent="0.4">
      <c r="O733" s="6"/>
    </row>
    <row r="734" spans="15:15" x14ac:dyDescent="0.4">
      <c r="O734" s="6"/>
    </row>
    <row r="735" spans="15:15" x14ac:dyDescent="0.4">
      <c r="O735" s="6"/>
    </row>
    <row r="736" spans="15:15" x14ac:dyDescent="0.4">
      <c r="O736" s="6"/>
    </row>
    <row r="737" spans="15:15" x14ac:dyDescent="0.4">
      <c r="O737" s="6"/>
    </row>
    <row r="738" spans="15:15" x14ac:dyDescent="0.4">
      <c r="O738" s="6"/>
    </row>
    <row r="739" spans="15:15" x14ac:dyDescent="0.4">
      <c r="O739" s="6"/>
    </row>
    <row r="740" spans="15:15" x14ac:dyDescent="0.4">
      <c r="O740" s="6"/>
    </row>
    <row r="741" spans="15:15" x14ac:dyDescent="0.4">
      <c r="O741" s="6"/>
    </row>
    <row r="742" spans="15:15" x14ac:dyDescent="0.4">
      <c r="O742" s="6"/>
    </row>
    <row r="743" spans="15:15" x14ac:dyDescent="0.4">
      <c r="O743" s="6"/>
    </row>
    <row r="744" spans="15:15" x14ac:dyDescent="0.4">
      <c r="O744" s="6"/>
    </row>
    <row r="745" spans="15:15" x14ac:dyDescent="0.4">
      <c r="O745" s="6"/>
    </row>
    <row r="746" spans="15:15" x14ac:dyDescent="0.4">
      <c r="O746" s="6"/>
    </row>
    <row r="747" spans="15:15" x14ac:dyDescent="0.4">
      <c r="O747" s="6"/>
    </row>
    <row r="748" spans="15:15" x14ac:dyDescent="0.4">
      <c r="O748" s="6"/>
    </row>
    <row r="749" spans="15:15" x14ac:dyDescent="0.4">
      <c r="O749" s="6"/>
    </row>
    <row r="750" spans="15:15" x14ac:dyDescent="0.4">
      <c r="O750" s="6"/>
    </row>
    <row r="751" spans="15:15" x14ac:dyDescent="0.4">
      <c r="O751" s="6"/>
    </row>
    <row r="752" spans="15:15" x14ac:dyDescent="0.4">
      <c r="O752" s="6"/>
    </row>
    <row r="753" spans="15:15" x14ac:dyDescent="0.4">
      <c r="O753" s="6"/>
    </row>
    <row r="754" spans="15:15" x14ac:dyDescent="0.4">
      <c r="O754" s="6"/>
    </row>
    <row r="755" spans="15:15" x14ac:dyDescent="0.4">
      <c r="O755" s="6"/>
    </row>
    <row r="756" spans="15:15" x14ac:dyDescent="0.4">
      <c r="O756" s="6"/>
    </row>
    <row r="757" spans="15:15" x14ac:dyDescent="0.4">
      <c r="O757" s="6"/>
    </row>
    <row r="758" spans="15:15" x14ac:dyDescent="0.4">
      <c r="O758" s="6"/>
    </row>
    <row r="759" spans="15:15" x14ac:dyDescent="0.4">
      <c r="O759" s="6"/>
    </row>
    <row r="760" spans="15:15" x14ac:dyDescent="0.4">
      <c r="O760" s="6"/>
    </row>
    <row r="761" spans="15:15" x14ac:dyDescent="0.4">
      <c r="O761" s="6"/>
    </row>
    <row r="762" spans="15:15" x14ac:dyDescent="0.4">
      <c r="O762" s="6"/>
    </row>
    <row r="763" spans="15:15" x14ac:dyDescent="0.4">
      <c r="O763" s="6"/>
    </row>
    <row r="764" spans="15:15" x14ac:dyDescent="0.4">
      <c r="O764" s="6"/>
    </row>
    <row r="765" spans="15:15" x14ac:dyDescent="0.4">
      <c r="O765" s="6"/>
    </row>
    <row r="766" spans="15:15" x14ac:dyDescent="0.4">
      <c r="O766" s="6"/>
    </row>
    <row r="767" spans="15:15" x14ac:dyDescent="0.4">
      <c r="O767" s="6"/>
    </row>
    <row r="768" spans="15:15" x14ac:dyDescent="0.4">
      <c r="O768" s="6"/>
    </row>
    <row r="769" spans="15:15" x14ac:dyDescent="0.4">
      <c r="O769" s="6"/>
    </row>
    <row r="770" spans="15:15" x14ac:dyDescent="0.4">
      <c r="O770" s="6"/>
    </row>
    <row r="771" spans="15:15" x14ac:dyDescent="0.4">
      <c r="O771" s="6"/>
    </row>
    <row r="772" spans="15:15" x14ac:dyDescent="0.4">
      <c r="O772" s="6"/>
    </row>
    <row r="773" spans="15:15" x14ac:dyDescent="0.4">
      <c r="O773" s="6"/>
    </row>
    <row r="774" spans="15:15" x14ac:dyDescent="0.4">
      <c r="O774" s="6"/>
    </row>
    <row r="775" spans="15:15" x14ac:dyDescent="0.4">
      <c r="O775" s="6"/>
    </row>
    <row r="776" spans="15:15" x14ac:dyDescent="0.4">
      <c r="O776" s="6"/>
    </row>
    <row r="777" spans="15:15" x14ac:dyDescent="0.4">
      <c r="O777" s="6"/>
    </row>
    <row r="778" spans="15:15" x14ac:dyDescent="0.4">
      <c r="O778" s="6"/>
    </row>
    <row r="779" spans="15:15" x14ac:dyDescent="0.4">
      <c r="O779" s="6"/>
    </row>
    <row r="780" spans="15:15" x14ac:dyDescent="0.4">
      <c r="O780" s="6"/>
    </row>
    <row r="781" spans="15:15" x14ac:dyDescent="0.4">
      <c r="O781" s="6"/>
    </row>
    <row r="782" spans="15:15" x14ac:dyDescent="0.4">
      <c r="O782" s="6"/>
    </row>
    <row r="783" spans="15:15" x14ac:dyDescent="0.4">
      <c r="O783" s="6"/>
    </row>
    <row r="784" spans="15:15" x14ac:dyDescent="0.4">
      <c r="O784" s="6"/>
    </row>
    <row r="785" spans="15:15" x14ac:dyDescent="0.4">
      <c r="O785" s="6"/>
    </row>
    <row r="786" spans="15:15" x14ac:dyDescent="0.4">
      <c r="O786" s="6"/>
    </row>
    <row r="787" spans="15:15" x14ac:dyDescent="0.4">
      <c r="O787" s="6"/>
    </row>
    <row r="788" spans="15:15" x14ac:dyDescent="0.4">
      <c r="O788" s="6"/>
    </row>
    <row r="789" spans="15:15" x14ac:dyDescent="0.4">
      <c r="O789" s="6"/>
    </row>
    <row r="790" spans="15:15" x14ac:dyDescent="0.4">
      <c r="O790" s="6"/>
    </row>
    <row r="791" spans="15:15" x14ac:dyDescent="0.4">
      <c r="O791" s="6"/>
    </row>
    <row r="792" spans="15:15" x14ac:dyDescent="0.4">
      <c r="O792" s="6"/>
    </row>
    <row r="793" spans="15:15" x14ac:dyDescent="0.4">
      <c r="O793" s="6"/>
    </row>
    <row r="794" spans="15:15" x14ac:dyDescent="0.4">
      <c r="O794" s="6"/>
    </row>
    <row r="795" spans="15:15" x14ac:dyDescent="0.4">
      <c r="O795" s="6"/>
    </row>
    <row r="796" spans="15:15" x14ac:dyDescent="0.4">
      <c r="O796" s="6"/>
    </row>
    <row r="797" spans="15:15" x14ac:dyDescent="0.4">
      <c r="O797" s="6"/>
    </row>
    <row r="798" spans="15:15" x14ac:dyDescent="0.4">
      <c r="O798" s="6"/>
    </row>
    <row r="799" spans="15:15" x14ac:dyDescent="0.4">
      <c r="O799" s="6"/>
    </row>
    <row r="800" spans="15:15" x14ac:dyDescent="0.4">
      <c r="O800" s="6"/>
    </row>
    <row r="801" spans="15:15" x14ac:dyDescent="0.4">
      <c r="O801" s="6"/>
    </row>
    <row r="802" spans="15:15" x14ac:dyDescent="0.4">
      <c r="O802" s="6"/>
    </row>
    <row r="803" spans="15:15" x14ac:dyDescent="0.4">
      <c r="O803" s="6"/>
    </row>
    <row r="804" spans="15:15" x14ac:dyDescent="0.4">
      <c r="O804" s="6"/>
    </row>
    <row r="805" spans="15:15" x14ac:dyDescent="0.4">
      <c r="O805" s="6"/>
    </row>
    <row r="806" spans="15:15" x14ac:dyDescent="0.4">
      <c r="O806" s="6"/>
    </row>
    <row r="807" spans="15:15" x14ac:dyDescent="0.4">
      <c r="O807" s="6"/>
    </row>
    <row r="808" spans="15:15" x14ac:dyDescent="0.4">
      <c r="O808" s="6"/>
    </row>
    <row r="809" spans="15:15" x14ac:dyDescent="0.4">
      <c r="O809" s="6"/>
    </row>
    <row r="810" spans="15:15" x14ac:dyDescent="0.4">
      <c r="O810" s="6"/>
    </row>
    <row r="811" spans="15:15" x14ac:dyDescent="0.4">
      <c r="O811" s="6"/>
    </row>
    <row r="812" spans="15:15" x14ac:dyDescent="0.4">
      <c r="O812" s="6"/>
    </row>
    <row r="813" spans="15:15" x14ac:dyDescent="0.4">
      <c r="O813" s="6"/>
    </row>
    <row r="814" spans="15:15" x14ac:dyDescent="0.4">
      <c r="O814" s="6"/>
    </row>
    <row r="815" spans="15:15" x14ac:dyDescent="0.4">
      <c r="O815" s="6"/>
    </row>
    <row r="816" spans="15:15" x14ac:dyDescent="0.4">
      <c r="O816" s="6"/>
    </row>
    <row r="817" spans="15:15" x14ac:dyDescent="0.4">
      <c r="O817" s="6"/>
    </row>
    <row r="818" spans="15:15" x14ac:dyDescent="0.4">
      <c r="O818" s="6"/>
    </row>
    <row r="819" spans="15:15" x14ac:dyDescent="0.4">
      <c r="O819" s="6"/>
    </row>
    <row r="820" spans="15:15" x14ac:dyDescent="0.4">
      <c r="O820" s="6"/>
    </row>
    <row r="821" spans="15:15" x14ac:dyDescent="0.4">
      <c r="O821" s="6"/>
    </row>
    <row r="822" spans="15:15" x14ac:dyDescent="0.4">
      <c r="O822" s="6"/>
    </row>
    <row r="823" spans="15:15" x14ac:dyDescent="0.4">
      <c r="O823" s="6"/>
    </row>
    <row r="824" spans="15:15" x14ac:dyDescent="0.4">
      <c r="O824" s="6"/>
    </row>
    <row r="825" spans="15:15" x14ac:dyDescent="0.4">
      <c r="O825" s="6"/>
    </row>
    <row r="826" spans="15:15" x14ac:dyDescent="0.4">
      <c r="O826" s="6"/>
    </row>
    <row r="827" spans="15:15" x14ac:dyDescent="0.4">
      <c r="O827" s="6"/>
    </row>
    <row r="828" spans="15:15" x14ac:dyDescent="0.4">
      <c r="O828" s="6"/>
    </row>
    <row r="829" spans="15:15" x14ac:dyDescent="0.4">
      <c r="O829" s="6"/>
    </row>
    <row r="830" spans="15:15" x14ac:dyDescent="0.4">
      <c r="O830" s="6"/>
    </row>
    <row r="831" spans="15:15" x14ac:dyDescent="0.4">
      <c r="O831" s="6"/>
    </row>
    <row r="832" spans="15:15" x14ac:dyDescent="0.4">
      <c r="O832" s="6"/>
    </row>
    <row r="833" spans="15:15" x14ac:dyDescent="0.4">
      <c r="O833" s="6"/>
    </row>
    <row r="834" spans="15:15" x14ac:dyDescent="0.4">
      <c r="O834" s="6"/>
    </row>
    <row r="835" spans="15:15" x14ac:dyDescent="0.4">
      <c r="O835" s="6"/>
    </row>
    <row r="836" spans="15:15" x14ac:dyDescent="0.4">
      <c r="O836" s="6"/>
    </row>
    <row r="837" spans="15:15" x14ac:dyDescent="0.4">
      <c r="O837" s="6"/>
    </row>
    <row r="838" spans="15:15" x14ac:dyDescent="0.4">
      <c r="O838" s="6"/>
    </row>
    <row r="839" spans="15:15" x14ac:dyDescent="0.4">
      <c r="O839" s="6"/>
    </row>
    <row r="840" spans="15:15" x14ac:dyDescent="0.4">
      <c r="O840" s="6"/>
    </row>
    <row r="841" spans="15:15" x14ac:dyDescent="0.4">
      <c r="O841" s="6"/>
    </row>
    <row r="842" spans="15:15" x14ac:dyDescent="0.4">
      <c r="O842" s="6"/>
    </row>
    <row r="843" spans="15:15" x14ac:dyDescent="0.4">
      <c r="O843" s="6"/>
    </row>
    <row r="844" spans="15:15" x14ac:dyDescent="0.4">
      <c r="O844" s="6"/>
    </row>
    <row r="845" spans="15:15" x14ac:dyDescent="0.4">
      <c r="O845" s="6"/>
    </row>
    <row r="846" spans="15:15" x14ac:dyDescent="0.4">
      <c r="O846" s="6"/>
    </row>
    <row r="847" spans="15:15" x14ac:dyDescent="0.4">
      <c r="O847" s="6"/>
    </row>
    <row r="848" spans="15:15" x14ac:dyDescent="0.4">
      <c r="O848" s="6"/>
    </row>
    <row r="849" spans="15:15" x14ac:dyDescent="0.4">
      <c r="O849" s="6"/>
    </row>
    <row r="850" spans="15:15" x14ac:dyDescent="0.4">
      <c r="O850" s="6"/>
    </row>
    <row r="851" spans="15:15" x14ac:dyDescent="0.4">
      <c r="O851" s="6"/>
    </row>
    <row r="852" spans="15:15" x14ac:dyDescent="0.4">
      <c r="O852" s="6"/>
    </row>
    <row r="853" spans="15:15" x14ac:dyDescent="0.4">
      <c r="O853" s="6"/>
    </row>
    <row r="854" spans="15:15" x14ac:dyDescent="0.4">
      <c r="O854" s="6"/>
    </row>
    <row r="855" spans="15:15" x14ac:dyDescent="0.4">
      <c r="O855" s="6"/>
    </row>
    <row r="856" spans="15:15" x14ac:dyDescent="0.4">
      <c r="O856" s="6"/>
    </row>
    <row r="857" spans="15:15" x14ac:dyDescent="0.4">
      <c r="O857" s="6"/>
    </row>
    <row r="858" spans="15:15" x14ac:dyDescent="0.4">
      <c r="O858" s="6"/>
    </row>
    <row r="859" spans="15:15" x14ac:dyDescent="0.4">
      <c r="O859" s="6"/>
    </row>
    <row r="860" spans="15:15" x14ac:dyDescent="0.4">
      <c r="O860" s="6"/>
    </row>
    <row r="861" spans="15:15" x14ac:dyDescent="0.4">
      <c r="O861" s="6"/>
    </row>
    <row r="862" spans="15:15" x14ac:dyDescent="0.4">
      <c r="O862" s="6"/>
    </row>
    <row r="863" spans="15:15" x14ac:dyDescent="0.4">
      <c r="O863" s="6"/>
    </row>
    <row r="864" spans="15:15" x14ac:dyDescent="0.4">
      <c r="O864" s="6"/>
    </row>
    <row r="865" spans="15:15" x14ac:dyDescent="0.4">
      <c r="O865" s="6"/>
    </row>
    <row r="866" spans="15:15" x14ac:dyDescent="0.4">
      <c r="O866" s="6"/>
    </row>
    <row r="867" spans="15:15" x14ac:dyDescent="0.4">
      <c r="O867" s="6"/>
    </row>
    <row r="868" spans="15:15" x14ac:dyDescent="0.4">
      <c r="O868" s="6"/>
    </row>
    <row r="869" spans="15:15" x14ac:dyDescent="0.4">
      <c r="O869" s="6"/>
    </row>
    <row r="870" spans="15:15" x14ac:dyDescent="0.4">
      <c r="O870" s="6"/>
    </row>
    <row r="871" spans="15:15" x14ac:dyDescent="0.4">
      <c r="O871" s="6"/>
    </row>
    <row r="872" spans="15:15" x14ac:dyDescent="0.4">
      <c r="O872" s="6"/>
    </row>
    <row r="873" spans="15:15" x14ac:dyDescent="0.4">
      <c r="O873" s="6"/>
    </row>
    <row r="874" spans="15:15" x14ac:dyDescent="0.4">
      <c r="O874" s="6"/>
    </row>
    <row r="875" spans="15:15" x14ac:dyDescent="0.4">
      <c r="O875" s="6"/>
    </row>
    <row r="876" spans="15:15" x14ac:dyDescent="0.4">
      <c r="O876" s="6"/>
    </row>
    <row r="877" spans="15:15" x14ac:dyDescent="0.4">
      <c r="O877" s="6"/>
    </row>
    <row r="878" spans="15:15" x14ac:dyDescent="0.4">
      <c r="O878" s="6"/>
    </row>
    <row r="879" spans="15:15" x14ac:dyDescent="0.4">
      <c r="O879" s="6"/>
    </row>
    <row r="880" spans="15:15" x14ac:dyDescent="0.4">
      <c r="O880" s="6"/>
    </row>
    <row r="881" spans="15:15" x14ac:dyDescent="0.4">
      <c r="O881" s="6"/>
    </row>
    <row r="882" spans="15:15" x14ac:dyDescent="0.4">
      <c r="O882" s="6"/>
    </row>
    <row r="883" spans="15:15" x14ac:dyDescent="0.4">
      <c r="O883" s="6"/>
    </row>
    <row r="884" spans="15:15" x14ac:dyDescent="0.4">
      <c r="O884" s="6"/>
    </row>
    <row r="885" spans="15:15" x14ac:dyDescent="0.4">
      <c r="O885" s="6"/>
    </row>
    <row r="886" spans="15:15" x14ac:dyDescent="0.4">
      <c r="O886" s="6"/>
    </row>
    <row r="887" spans="15:15" x14ac:dyDescent="0.4">
      <c r="O887" s="6"/>
    </row>
    <row r="888" spans="15:15" x14ac:dyDescent="0.4">
      <c r="O888" s="6"/>
    </row>
    <row r="889" spans="15:15" x14ac:dyDescent="0.4">
      <c r="O889" s="6"/>
    </row>
    <row r="890" spans="15:15" x14ac:dyDescent="0.4">
      <c r="O890" s="6"/>
    </row>
    <row r="891" spans="15:15" x14ac:dyDescent="0.4">
      <c r="O891" s="6"/>
    </row>
    <row r="892" spans="15:15" x14ac:dyDescent="0.4">
      <c r="O892" s="6"/>
    </row>
    <row r="893" spans="15:15" x14ac:dyDescent="0.4">
      <c r="O893" s="6"/>
    </row>
    <row r="894" spans="15:15" x14ac:dyDescent="0.4">
      <c r="O894" s="6"/>
    </row>
    <row r="895" spans="15:15" x14ac:dyDescent="0.4">
      <c r="O895" s="6"/>
    </row>
    <row r="896" spans="15:15" x14ac:dyDescent="0.4">
      <c r="O896" s="6"/>
    </row>
    <row r="897" spans="15:15" x14ac:dyDescent="0.4">
      <c r="O897" s="6"/>
    </row>
    <row r="898" spans="15:15" x14ac:dyDescent="0.4">
      <c r="O898" s="6"/>
    </row>
    <row r="899" spans="15:15" x14ac:dyDescent="0.4">
      <c r="O899" s="6"/>
    </row>
    <row r="900" spans="15:15" x14ac:dyDescent="0.4">
      <c r="O900" s="6"/>
    </row>
    <row r="901" spans="15:15" x14ac:dyDescent="0.4">
      <c r="O901" s="6"/>
    </row>
    <row r="902" spans="15:15" x14ac:dyDescent="0.4">
      <c r="O902" s="6"/>
    </row>
    <row r="903" spans="15:15" x14ac:dyDescent="0.4">
      <c r="O903" s="6"/>
    </row>
    <row r="904" spans="15:15" x14ac:dyDescent="0.4">
      <c r="O904" s="6"/>
    </row>
    <row r="905" spans="15:15" x14ac:dyDescent="0.4">
      <c r="O905" s="6"/>
    </row>
    <row r="906" spans="15:15" x14ac:dyDescent="0.4">
      <c r="O906" s="6"/>
    </row>
    <row r="907" spans="15:15" x14ac:dyDescent="0.4">
      <c r="O907" s="6"/>
    </row>
    <row r="908" spans="15:15" x14ac:dyDescent="0.4">
      <c r="O908" s="6"/>
    </row>
    <row r="909" spans="15:15" x14ac:dyDescent="0.4">
      <c r="O909" s="6"/>
    </row>
    <row r="910" spans="15:15" x14ac:dyDescent="0.4">
      <c r="O910" s="6"/>
    </row>
    <row r="911" spans="15:15" x14ac:dyDescent="0.4">
      <c r="O911" s="6"/>
    </row>
    <row r="912" spans="15:15" x14ac:dyDescent="0.4">
      <c r="O912" s="6"/>
    </row>
    <row r="913" spans="15:15" x14ac:dyDescent="0.4">
      <c r="O913" s="6"/>
    </row>
    <row r="914" spans="15:15" x14ac:dyDescent="0.4">
      <c r="O914" s="6"/>
    </row>
    <row r="915" spans="15:15" x14ac:dyDescent="0.4">
      <c r="O915" s="6"/>
    </row>
    <row r="916" spans="15:15" x14ac:dyDescent="0.4">
      <c r="O916" s="6"/>
    </row>
    <row r="917" spans="15:15" x14ac:dyDescent="0.4">
      <c r="O917" s="6"/>
    </row>
    <row r="918" spans="15:15" x14ac:dyDescent="0.4">
      <c r="O918" s="6"/>
    </row>
    <row r="919" spans="15:15" x14ac:dyDescent="0.4">
      <c r="O919" s="6"/>
    </row>
    <row r="920" spans="15:15" x14ac:dyDescent="0.4">
      <c r="O920" s="6"/>
    </row>
    <row r="921" spans="15:15" x14ac:dyDescent="0.4">
      <c r="O921" s="6"/>
    </row>
    <row r="922" spans="15:15" x14ac:dyDescent="0.4">
      <c r="O922" s="6"/>
    </row>
    <row r="923" spans="15:15" x14ac:dyDescent="0.4">
      <c r="O923" s="6"/>
    </row>
    <row r="924" spans="15:15" x14ac:dyDescent="0.4">
      <c r="O924" s="6"/>
    </row>
    <row r="925" spans="15:15" x14ac:dyDescent="0.4">
      <c r="O925" s="6"/>
    </row>
    <row r="926" spans="15:15" x14ac:dyDescent="0.4">
      <c r="O926" s="6"/>
    </row>
    <row r="927" spans="15:15" x14ac:dyDescent="0.4">
      <c r="O927" s="6"/>
    </row>
    <row r="928" spans="15:15" x14ac:dyDescent="0.4">
      <c r="O928" s="6"/>
    </row>
    <row r="929" spans="15:15" x14ac:dyDescent="0.4">
      <c r="O929" s="6"/>
    </row>
    <row r="930" spans="15:15" x14ac:dyDescent="0.4">
      <c r="O930" s="6"/>
    </row>
    <row r="931" spans="15:15" x14ac:dyDescent="0.4">
      <c r="O931" s="6"/>
    </row>
    <row r="932" spans="15:15" x14ac:dyDescent="0.4">
      <c r="O932" s="6"/>
    </row>
    <row r="933" spans="15:15" x14ac:dyDescent="0.4">
      <c r="O933" s="6"/>
    </row>
    <row r="934" spans="15:15" x14ac:dyDescent="0.4">
      <c r="O934" s="6"/>
    </row>
    <row r="935" spans="15:15" x14ac:dyDescent="0.4">
      <c r="O935" s="6"/>
    </row>
    <row r="936" spans="15:15" x14ac:dyDescent="0.4">
      <c r="O936" s="6"/>
    </row>
    <row r="937" spans="15:15" x14ac:dyDescent="0.4">
      <c r="O937" s="6"/>
    </row>
    <row r="938" spans="15:15" x14ac:dyDescent="0.4">
      <c r="O938" s="6"/>
    </row>
    <row r="939" spans="15:15" x14ac:dyDescent="0.4">
      <c r="O939" s="6"/>
    </row>
    <row r="940" spans="15:15" x14ac:dyDescent="0.4">
      <c r="O940" s="6"/>
    </row>
    <row r="941" spans="15:15" x14ac:dyDescent="0.4">
      <c r="O941" s="6"/>
    </row>
    <row r="942" spans="15:15" x14ac:dyDescent="0.4">
      <c r="O942" s="6"/>
    </row>
    <row r="943" spans="15:15" x14ac:dyDescent="0.4">
      <c r="O943" s="6"/>
    </row>
    <row r="944" spans="15:15" x14ac:dyDescent="0.4">
      <c r="O944" s="6"/>
    </row>
    <row r="945" spans="15:15" x14ac:dyDescent="0.4">
      <c r="O945" s="6"/>
    </row>
    <row r="946" spans="15:15" x14ac:dyDescent="0.4">
      <c r="O946" s="6"/>
    </row>
    <row r="947" spans="15:15" x14ac:dyDescent="0.4">
      <c r="O947" s="6"/>
    </row>
    <row r="948" spans="15:15" x14ac:dyDescent="0.4">
      <c r="O948" s="6"/>
    </row>
    <row r="949" spans="15:15" x14ac:dyDescent="0.4">
      <c r="O949" s="6"/>
    </row>
    <row r="950" spans="15:15" x14ac:dyDescent="0.4">
      <c r="O950" s="6"/>
    </row>
    <row r="951" spans="15:15" x14ac:dyDescent="0.4">
      <c r="O951" s="6"/>
    </row>
    <row r="952" spans="15:15" x14ac:dyDescent="0.4">
      <c r="O952" s="6"/>
    </row>
    <row r="953" spans="15:15" x14ac:dyDescent="0.4">
      <c r="O953" s="6"/>
    </row>
    <row r="954" spans="15:15" x14ac:dyDescent="0.4">
      <c r="O954" s="6"/>
    </row>
    <row r="955" spans="15:15" x14ac:dyDescent="0.4">
      <c r="O955" s="6"/>
    </row>
    <row r="956" spans="15:15" x14ac:dyDescent="0.4">
      <c r="O956" s="6"/>
    </row>
    <row r="957" spans="15:15" x14ac:dyDescent="0.4">
      <c r="O957" s="6"/>
    </row>
    <row r="958" spans="15:15" x14ac:dyDescent="0.4">
      <c r="O958" s="6"/>
    </row>
    <row r="959" spans="15:15" x14ac:dyDescent="0.4">
      <c r="O959" s="6"/>
    </row>
    <row r="960" spans="15:15" x14ac:dyDescent="0.4">
      <c r="O960" s="6"/>
    </row>
    <row r="961" spans="15:15" x14ac:dyDescent="0.4">
      <c r="O961" s="6"/>
    </row>
    <row r="962" spans="15:15" x14ac:dyDescent="0.4">
      <c r="O962" s="6"/>
    </row>
    <row r="963" spans="15:15" x14ac:dyDescent="0.4">
      <c r="O963" s="6"/>
    </row>
    <row r="964" spans="15:15" x14ac:dyDescent="0.4">
      <c r="O964" s="6"/>
    </row>
    <row r="965" spans="15:15" x14ac:dyDescent="0.4">
      <c r="O965" s="6"/>
    </row>
    <row r="966" spans="15:15" x14ac:dyDescent="0.4">
      <c r="O966" s="6"/>
    </row>
    <row r="967" spans="15:15" x14ac:dyDescent="0.4">
      <c r="O967" s="6"/>
    </row>
    <row r="968" spans="15:15" x14ac:dyDescent="0.4">
      <c r="O968" s="6"/>
    </row>
    <row r="969" spans="15:15" x14ac:dyDescent="0.4">
      <c r="O969" s="6"/>
    </row>
    <row r="970" spans="15:15" x14ac:dyDescent="0.4">
      <c r="O970" s="6"/>
    </row>
    <row r="971" spans="15:15" x14ac:dyDescent="0.4">
      <c r="O971" s="6"/>
    </row>
    <row r="972" spans="15:15" x14ac:dyDescent="0.4">
      <c r="O972" s="6"/>
    </row>
    <row r="973" spans="15:15" x14ac:dyDescent="0.4">
      <c r="O973" s="6"/>
    </row>
    <row r="974" spans="15:15" x14ac:dyDescent="0.4">
      <c r="O974" s="6"/>
    </row>
    <row r="975" spans="15:15" x14ac:dyDescent="0.4">
      <c r="O975" s="6"/>
    </row>
    <row r="976" spans="15:15" x14ac:dyDescent="0.4">
      <c r="O976" s="6"/>
    </row>
    <row r="977" spans="15:15" x14ac:dyDescent="0.4">
      <c r="O977" s="6"/>
    </row>
    <row r="978" spans="15:15" x14ac:dyDescent="0.4">
      <c r="O978" s="6"/>
    </row>
    <row r="979" spans="15:15" x14ac:dyDescent="0.4">
      <c r="O979" s="6"/>
    </row>
    <row r="980" spans="15:15" x14ac:dyDescent="0.4">
      <c r="O980" s="6"/>
    </row>
    <row r="981" spans="15:15" x14ac:dyDescent="0.4">
      <c r="O981" s="6"/>
    </row>
    <row r="982" spans="15:15" x14ac:dyDescent="0.4">
      <c r="O982" s="6"/>
    </row>
    <row r="983" spans="15:15" x14ac:dyDescent="0.4">
      <c r="O983" s="6"/>
    </row>
    <row r="984" spans="15:15" x14ac:dyDescent="0.4">
      <c r="O984" s="6"/>
    </row>
    <row r="985" spans="15:15" x14ac:dyDescent="0.4">
      <c r="O985" s="6"/>
    </row>
    <row r="986" spans="15:15" x14ac:dyDescent="0.4">
      <c r="O986" s="6"/>
    </row>
    <row r="987" spans="15:15" x14ac:dyDescent="0.4">
      <c r="O987" s="6"/>
    </row>
    <row r="988" spans="15:15" x14ac:dyDescent="0.4">
      <c r="O988" s="6"/>
    </row>
    <row r="989" spans="15:15" x14ac:dyDescent="0.4">
      <c r="O989" s="6"/>
    </row>
    <row r="990" spans="15:15" x14ac:dyDescent="0.4">
      <c r="O990" s="6"/>
    </row>
    <row r="991" spans="15:15" x14ac:dyDescent="0.4">
      <c r="O991" s="6"/>
    </row>
    <row r="992" spans="15:15" x14ac:dyDescent="0.4">
      <c r="O992" s="6"/>
    </row>
    <row r="993" spans="15:15" x14ac:dyDescent="0.4">
      <c r="O993" s="6"/>
    </row>
    <row r="994" spans="15:15" x14ac:dyDescent="0.4">
      <c r="O994" s="6"/>
    </row>
    <row r="995" spans="15:15" x14ac:dyDescent="0.4">
      <c r="O995" s="6"/>
    </row>
    <row r="996" spans="15:15" x14ac:dyDescent="0.4">
      <c r="O996" s="6"/>
    </row>
    <row r="997" spans="15:15" x14ac:dyDescent="0.4">
      <c r="O997" s="6"/>
    </row>
    <row r="998" spans="15:15" x14ac:dyDescent="0.4">
      <c r="O998" s="6"/>
    </row>
    <row r="999" spans="15:15" x14ac:dyDescent="0.4">
      <c r="O999" s="6"/>
    </row>
    <row r="1000" spans="15:15" x14ac:dyDescent="0.4">
      <c r="O1000" s="6"/>
    </row>
    <row r="1001" spans="15:15" x14ac:dyDescent="0.4">
      <c r="O1001" s="6"/>
    </row>
    <row r="1002" spans="15:15" x14ac:dyDescent="0.4">
      <c r="O1002" s="6"/>
    </row>
    <row r="1003" spans="15:15" x14ac:dyDescent="0.4">
      <c r="O1003" s="6"/>
    </row>
    <row r="1004" spans="15:15" x14ac:dyDescent="0.4">
      <c r="O1004" s="6"/>
    </row>
    <row r="1005" spans="15:15" x14ac:dyDescent="0.4">
      <c r="O1005" s="6"/>
    </row>
    <row r="1006" spans="15:15" x14ac:dyDescent="0.4">
      <c r="O1006" s="6"/>
    </row>
    <row r="1007" spans="15:15" x14ac:dyDescent="0.4">
      <c r="O1007" s="6"/>
    </row>
    <row r="1008" spans="15:15" x14ac:dyDescent="0.4">
      <c r="O1008" s="6"/>
    </row>
    <row r="1009" spans="15:15" x14ac:dyDescent="0.4">
      <c r="O1009" s="6"/>
    </row>
    <row r="1010" spans="15:15" x14ac:dyDescent="0.4">
      <c r="O1010" s="6"/>
    </row>
    <row r="1011" spans="15:15" x14ac:dyDescent="0.4">
      <c r="O1011" s="6"/>
    </row>
    <row r="1012" spans="15:15" x14ac:dyDescent="0.4">
      <c r="O1012" s="6"/>
    </row>
    <row r="1013" spans="15:15" x14ac:dyDescent="0.4">
      <c r="O1013" s="6"/>
    </row>
    <row r="1014" spans="15:15" x14ac:dyDescent="0.4">
      <c r="O1014" s="6"/>
    </row>
    <row r="1015" spans="15:15" x14ac:dyDescent="0.4">
      <c r="O1015" s="6"/>
    </row>
    <row r="1016" spans="15:15" x14ac:dyDescent="0.4">
      <c r="O1016" s="6"/>
    </row>
    <row r="1017" spans="15:15" x14ac:dyDescent="0.4">
      <c r="O1017" s="6"/>
    </row>
    <row r="1018" spans="15:15" x14ac:dyDescent="0.4">
      <c r="O1018" s="6"/>
    </row>
    <row r="1019" spans="15:15" x14ac:dyDescent="0.4">
      <c r="O1019" s="6"/>
    </row>
    <row r="1020" spans="15:15" x14ac:dyDescent="0.4">
      <c r="O1020" s="6"/>
    </row>
    <row r="1021" spans="15:15" x14ac:dyDescent="0.4">
      <c r="O1021" s="6"/>
    </row>
    <row r="1022" spans="15:15" x14ac:dyDescent="0.4">
      <c r="O1022" s="6"/>
    </row>
    <row r="1023" spans="15:15" x14ac:dyDescent="0.4">
      <c r="O1023" s="6"/>
    </row>
    <row r="1024" spans="15:15" x14ac:dyDescent="0.4">
      <c r="O1024" s="6"/>
    </row>
    <row r="1025" spans="15:15" x14ac:dyDescent="0.4">
      <c r="O1025" s="6"/>
    </row>
    <row r="1026" spans="15:15" x14ac:dyDescent="0.4">
      <c r="O1026" s="6"/>
    </row>
    <row r="1027" spans="15:15" x14ac:dyDescent="0.4">
      <c r="O1027" s="6"/>
    </row>
    <row r="1028" spans="15:15" x14ac:dyDescent="0.4">
      <c r="O1028" s="6"/>
    </row>
    <row r="1029" spans="15:15" x14ac:dyDescent="0.4">
      <c r="O1029" s="6"/>
    </row>
    <row r="1030" spans="15:15" x14ac:dyDescent="0.4">
      <c r="O1030" s="6"/>
    </row>
    <row r="1031" spans="15:15" x14ac:dyDescent="0.4">
      <c r="O1031" s="6"/>
    </row>
    <row r="1032" spans="15:15" x14ac:dyDescent="0.4">
      <c r="O1032" s="6"/>
    </row>
    <row r="1033" spans="15:15" x14ac:dyDescent="0.4">
      <c r="O1033" s="6"/>
    </row>
    <row r="1034" spans="15:15" x14ac:dyDescent="0.4">
      <c r="O1034" s="6"/>
    </row>
    <row r="1035" spans="15:15" x14ac:dyDescent="0.4">
      <c r="O1035" s="6"/>
    </row>
    <row r="1036" spans="15:15" x14ac:dyDescent="0.4">
      <c r="O1036" s="6"/>
    </row>
    <row r="1037" spans="15:15" x14ac:dyDescent="0.4">
      <c r="O1037" s="6"/>
    </row>
    <row r="1038" spans="15:15" x14ac:dyDescent="0.4">
      <c r="O1038" s="6"/>
    </row>
    <row r="1039" spans="15:15" x14ac:dyDescent="0.4">
      <c r="O1039" s="6"/>
    </row>
    <row r="1040" spans="15:15" x14ac:dyDescent="0.4">
      <c r="O1040" s="6"/>
    </row>
    <row r="1041" spans="15:15" x14ac:dyDescent="0.4">
      <c r="O1041" s="6"/>
    </row>
    <row r="1042" spans="15:15" x14ac:dyDescent="0.4">
      <c r="O1042" s="6"/>
    </row>
    <row r="1043" spans="15:15" x14ac:dyDescent="0.4">
      <c r="O1043" s="6"/>
    </row>
    <row r="1044" spans="15:15" x14ac:dyDescent="0.4">
      <c r="O1044" s="6"/>
    </row>
  </sheetData>
  <phoneticPr fontId="1" type="noConversion"/>
  <conditionalFormatting sqref="A255:P1045 O5:P254 A5:M254">
    <cfRule type="expression" dxfId="30" priority="11">
      <formula>MOD(ROW(),2)=0</formula>
    </cfRule>
    <cfRule type="expression" dxfId="29" priority="13">
      <formula>MOD(ROW(),2)=1</formula>
    </cfRule>
  </conditionalFormatting>
  <conditionalFormatting sqref="E5:F5 E7:F104">
    <cfRule type="notContainsBlanks" dxfId="28" priority="12">
      <formula>LEN(TRIM(E5))&gt;0</formula>
    </cfRule>
  </conditionalFormatting>
  <conditionalFormatting sqref="O5:O12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5:V1044 S5:U254">
    <cfRule type="expression" dxfId="27" priority="10">
      <formula>MOD(ROW(),2)=1</formula>
    </cfRule>
  </conditionalFormatting>
  <conditionalFormatting sqref="I105:J127 I5:K104">
    <cfRule type="notContainsBlanks" dxfId="26" priority="8">
      <formula>LEN(TRIM(I5))&gt;0</formula>
    </cfRule>
  </conditionalFormatting>
  <conditionalFormatting sqref="B5:B1045">
    <cfRule type="containsText" dxfId="25" priority="4" operator="containsText" text="pat">
      <formula>NOT(ISERROR(SEARCH("pat",B5)))</formula>
    </cfRule>
    <cfRule type="containsText" dxfId="24" priority="5" operator="containsText" text="jmc">
      <formula>NOT(ISERROR(SEARCH("jmc",B5)))</formula>
    </cfRule>
    <cfRule type="containsText" dxfId="23" priority="6" operator="containsText" text="sit">
      <formula>NOT(ISERROR(SEARCH("sit",B5)))</formula>
    </cfRule>
    <cfRule type="containsText" dxfId="22" priority="7" operator="containsText" text="extra">
      <formula>NOT(ISERROR(SEARCH("extra",B5)))</formula>
    </cfRule>
  </conditionalFormatting>
  <conditionalFormatting sqref="N5:N254">
    <cfRule type="expression" dxfId="21" priority="3">
      <formula>MOD(ROW(),2)=1</formula>
    </cfRule>
  </conditionalFormatting>
  <conditionalFormatting sqref="V7:V254">
    <cfRule type="expression" dxfId="20" priority="2">
      <formula>MOD(ROW(),2)=1</formula>
    </cfRule>
  </conditionalFormatting>
  <conditionalFormatting sqref="V5:V6">
    <cfRule type="expression" dxfId="19" priority="1">
      <formula>MOD(ROW(),2)=1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0</xdr:rowOff>
                  </from>
                  <to>
                    <xdr:col>3</xdr:col>
                    <xdr:colOff>2316480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0</xdr:rowOff>
                  </from>
                  <to>
                    <xdr:col>4</xdr:col>
                    <xdr:colOff>259080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0</xdr:rowOff>
                  </from>
                  <to>
                    <xdr:col>3</xdr:col>
                    <xdr:colOff>1417320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6" tint="-0.249977111117893"/>
  </sheetPr>
  <dimension ref="A1:V1044"/>
  <sheetViews>
    <sheetView showGridLines="0" tabSelected="1" zoomScale="85" zoomScaleNormal="85" workbookViewId="0">
      <pane ySplit="4" topLeftCell="A5" activePane="bottomLeft" state="frozen"/>
      <selection pane="bottomLeft" activeCell="C5" sqref="C5"/>
    </sheetView>
  </sheetViews>
  <sheetFormatPr defaultRowHeight="17.399999999999999" x14ac:dyDescent="0.4"/>
  <cols>
    <col min="1" max="1" width="7.69921875" bestFit="1" customWidth="1"/>
    <col min="2" max="2" width="5.59765625" bestFit="1" customWidth="1"/>
    <col min="3" max="4" width="38.3984375" customWidth="1"/>
    <col min="5" max="7" width="8.8984375" customWidth="1"/>
    <col min="8" max="8" width="3.19921875" customWidth="1"/>
    <col min="9" max="11" width="9.09765625" customWidth="1"/>
    <col min="12" max="12" width="3.19921875" bestFit="1" customWidth="1"/>
    <col min="13" max="13" width="5.09765625" bestFit="1" customWidth="1"/>
    <col min="14" max="14" width="4" bestFit="1" customWidth="1"/>
    <col min="15" max="15" width="7.09765625" bestFit="1" customWidth="1"/>
    <col min="17" max="17" width="11.19921875" bestFit="1" customWidth="1"/>
    <col min="19" max="19" width="9.3984375" bestFit="1" customWidth="1"/>
    <col min="20" max="20" width="12.3984375" bestFit="1" customWidth="1"/>
    <col min="22" max="22" width="9.09765625" customWidth="1"/>
  </cols>
  <sheetData>
    <row r="1" spans="1:22" s="24" customFormat="1" x14ac:dyDescent="0.4">
      <c r="A1" s="23" t="s">
        <v>241</v>
      </c>
      <c r="B1" s="24" t="s">
        <v>141</v>
      </c>
      <c r="C1" s="24" t="s">
        <v>142</v>
      </c>
      <c r="F1" s="25"/>
      <c r="G1" s="26"/>
      <c r="L1" s="1" t="s">
        <v>234</v>
      </c>
      <c r="M1" s="1"/>
      <c r="N1" s="1"/>
      <c r="O1" s="27" t="str">
        <f>IFERROR(SUM(L:L)/SUM(N:N),"")</f>
        <v/>
      </c>
      <c r="S1" s="29" t="s">
        <v>240</v>
      </c>
    </row>
    <row r="2" spans="1:22" s="24" customFormat="1" x14ac:dyDescent="0.4">
      <c r="B2" s="24" t="s">
        <v>143</v>
      </c>
      <c r="C2" s="24" t="s">
        <v>144</v>
      </c>
      <c r="L2" s="1" t="s">
        <v>235</v>
      </c>
      <c r="M2" s="1"/>
      <c r="N2" s="1"/>
      <c r="O2" s="28">
        <v>66</v>
      </c>
      <c r="S2" s="1" t="s">
        <v>242</v>
      </c>
      <c r="T2" s="30">
        <v>42704</v>
      </c>
    </row>
    <row r="3" spans="1:22" s="24" customFormat="1" x14ac:dyDescent="0.4">
      <c r="B3" s="25"/>
      <c r="C3" s="25"/>
      <c r="S3" s="1" t="s">
        <v>239</v>
      </c>
      <c r="T3" s="30">
        <f ca="1">TODAY()</f>
        <v>42704</v>
      </c>
      <c r="U3" s="31" t="str">
        <f ca="1">NETWORKDAYS(T2-1,T3)&amp;"일째"</f>
        <v>2일째</v>
      </c>
      <c r="V3" s="32" t="str">
        <f ca="1">ROUNDUP(SUM(U5:U249)/NETWORKDAYS(T2-1,T3),0)&amp;"개/1일"</f>
        <v>12개/1일</v>
      </c>
    </row>
    <row r="4" spans="1:22" x14ac:dyDescent="0.4">
      <c r="A4" s="3" t="s">
        <v>1</v>
      </c>
      <c r="B4" s="4" t="s">
        <v>2</v>
      </c>
      <c r="C4" s="4" t="s">
        <v>130</v>
      </c>
      <c r="D4" s="4" t="s">
        <v>132</v>
      </c>
      <c r="E4" s="4" t="s">
        <v>27</v>
      </c>
      <c r="F4" s="4" t="s">
        <v>28</v>
      </c>
      <c r="G4" s="4" t="s">
        <v>26</v>
      </c>
      <c r="I4" s="4" t="s">
        <v>40</v>
      </c>
      <c r="J4" s="4" t="s">
        <v>41</v>
      </c>
      <c r="K4" s="4" t="s">
        <v>42</v>
      </c>
      <c r="L4" s="4" t="s">
        <v>138</v>
      </c>
      <c r="M4" s="4" t="s">
        <v>139</v>
      </c>
      <c r="N4" s="4" t="s">
        <v>140</v>
      </c>
      <c r="O4" s="4" t="s">
        <v>84</v>
      </c>
      <c r="P4" s="4" t="s">
        <v>162</v>
      </c>
      <c r="S4" s="18" t="s">
        <v>238</v>
      </c>
      <c r="T4" s="18" t="s">
        <v>236</v>
      </c>
      <c r="U4" s="18" t="s">
        <v>237</v>
      </c>
      <c r="V4" s="18" t="s">
        <v>243</v>
      </c>
    </row>
    <row r="5" spans="1:22" x14ac:dyDescent="0.4">
      <c r="A5">
        <v>1</v>
      </c>
      <c r="B5" s="20" t="s">
        <v>135</v>
      </c>
      <c r="C5" s="22"/>
      <c r="D5" s="21"/>
      <c r="E5" s="5"/>
      <c r="N5" t="str">
        <f>IFERROR(IF(L5+M5=0,"",L5+M5),"")</f>
        <v/>
      </c>
      <c r="O5" s="6" t="str">
        <f t="shared" ref="O5:O68" si="0">IFERROR(L5/(M5+L5),"")</f>
        <v/>
      </c>
      <c r="P5">
        <v>101.95538330078125</v>
      </c>
      <c r="S5">
        <v>1</v>
      </c>
      <c r="T5" s="13">
        <v>42532</v>
      </c>
      <c r="U5">
        <v>24</v>
      </c>
      <c r="V5">
        <f>IF(U5&gt;0,SUM($U$5:U5),"")</f>
        <v>24</v>
      </c>
    </row>
    <row r="6" spans="1:22" x14ac:dyDescent="0.4">
      <c r="A6">
        <v>2</v>
      </c>
      <c r="B6" s="20" t="s">
        <v>135</v>
      </c>
      <c r="C6" s="9"/>
      <c r="N6" t="str">
        <f t="shared" ref="N6:N69" si="1">IFERROR(IF(L6+M6=0,"",L6+M6),"")</f>
        <v/>
      </c>
      <c r="O6" s="6" t="str">
        <f t="shared" si="0"/>
        <v/>
      </c>
      <c r="P6">
        <v>134.46536254882812</v>
      </c>
      <c r="S6">
        <v>2</v>
      </c>
      <c r="T6" s="13"/>
      <c r="V6" t="str">
        <f>IF(U6&gt;0,SUM($U$5:U6),"")</f>
        <v/>
      </c>
    </row>
    <row r="7" spans="1:22" x14ac:dyDescent="0.4">
      <c r="A7">
        <v>3</v>
      </c>
      <c r="B7" s="20" t="s">
        <v>135</v>
      </c>
      <c r="C7" s="9"/>
      <c r="E7" s="5"/>
      <c r="F7" s="5"/>
      <c r="N7" t="str">
        <f t="shared" si="1"/>
        <v/>
      </c>
      <c r="O7" s="6" t="str">
        <f t="shared" si="0"/>
        <v/>
      </c>
      <c r="P7">
        <v>88.003082275390625</v>
      </c>
      <c r="S7">
        <v>3</v>
      </c>
      <c r="T7" s="13"/>
      <c r="V7" t="str">
        <f>IF(U7&gt;0,SUM($U$5:U7),"")</f>
        <v/>
      </c>
    </row>
    <row r="8" spans="1:22" x14ac:dyDescent="0.4">
      <c r="A8">
        <v>4</v>
      </c>
      <c r="B8" s="20" t="s">
        <v>135</v>
      </c>
      <c r="C8" s="9"/>
      <c r="E8" s="5"/>
      <c r="N8" t="str">
        <f t="shared" si="1"/>
        <v/>
      </c>
      <c r="O8" s="6" t="str">
        <f t="shared" si="0"/>
        <v/>
      </c>
      <c r="P8">
        <v>100.43838500976562</v>
      </c>
      <c r="S8">
        <v>4</v>
      </c>
      <c r="T8" s="13"/>
      <c r="V8" t="str">
        <f>IF(U8&gt;0,SUM($U$5:U8),"")</f>
        <v/>
      </c>
    </row>
    <row r="9" spans="1:22" x14ac:dyDescent="0.4">
      <c r="A9">
        <v>5</v>
      </c>
      <c r="B9" s="20" t="s">
        <v>135</v>
      </c>
      <c r="C9" s="9"/>
      <c r="E9" s="5"/>
      <c r="N9" t="str">
        <f t="shared" si="1"/>
        <v/>
      </c>
      <c r="O9" s="6" t="str">
        <f t="shared" si="0"/>
        <v/>
      </c>
      <c r="P9">
        <v>118.78005981445312</v>
      </c>
      <c r="S9">
        <v>5</v>
      </c>
      <c r="T9" s="13"/>
      <c r="V9" t="str">
        <f>IF(U9&gt;0,SUM($U$5:U9),"")</f>
        <v/>
      </c>
    </row>
    <row r="10" spans="1:22" x14ac:dyDescent="0.4">
      <c r="A10">
        <v>6</v>
      </c>
      <c r="B10" s="20" t="s">
        <v>135</v>
      </c>
      <c r="C10" s="9"/>
      <c r="E10" s="5"/>
      <c r="N10" t="str">
        <f t="shared" si="1"/>
        <v/>
      </c>
      <c r="O10" s="6" t="str">
        <f t="shared" si="0"/>
        <v/>
      </c>
      <c r="P10">
        <v>114.738037109375</v>
      </c>
      <c r="S10">
        <v>6</v>
      </c>
      <c r="T10" s="13"/>
      <c r="V10" t="str">
        <f>IF(U10&gt;0,SUM($U$5:U10),"")</f>
        <v/>
      </c>
    </row>
    <row r="11" spans="1:22" x14ac:dyDescent="0.4">
      <c r="A11">
        <v>7</v>
      </c>
      <c r="B11" s="20" t="s">
        <v>135</v>
      </c>
      <c r="C11" s="9"/>
      <c r="E11" s="5"/>
      <c r="N11" t="str">
        <f t="shared" si="1"/>
        <v/>
      </c>
      <c r="O11" s="6" t="str">
        <f t="shared" si="0"/>
        <v/>
      </c>
      <c r="P11">
        <v>125.891845703125</v>
      </c>
      <c r="S11">
        <v>7</v>
      </c>
      <c r="T11" s="13"/>
      <c r="V11" t="str">
        <f>IF(U11&gt;0,SUM($U$5:U11),"")</f>
        <v/>
      </c>
    </row>
    <row r="12" spans="1:22" x14ac:dyDescent="0.4">
      <c r="A12">
        <v>8</v>
      </c>
      <c r="B12" s="20" t="s">
        <v>135</v>
      </c>
      <c r="C12" s="9"/>
      <c r="E12" s="5"/>
      <c r="N12" t="str">
        <f t="shared" si="1"/>
        <v/>
      </c>
      <c r="O12" s="6" t="str">
        <f t="shared" si="0"/>
        <v/>
      </c>
      <c r="P12">
        <v>113.47251892089844</v>
      </c>
      <c r="S12">
        <v>8</v>
      </c>
      <c r="T12" s="13"/>
      <c r="V12" t="str">
        <f>IF(U12&gt;0,SUM($U$5:U12),"")</f>
        <v/>
      </c>
    </row>
    <row r="13" spans="1:22" x14ac:dyDescent="0.4">
      <c r="A13">
        <v>9</v>
      </c>
      <c r="B13" s="20" t="s">
        <v>135</v>
      </c>
      <c r="C13" s="9"/>
      <c r="E13" s="5"/>
      <c r="N13" t="str">
        <f t="shared" si="1"/>
        <v/>
      </c>
      <c r="O13" s="6" t="str">
        <f t="shared" si="0"/>
        <v/>
      </c>
      <c r="P13">
        <v>136.75260925292969</v>
      </c>
      <c r="S13">
        <v>9</v>
      </c>
      <c r="T13" s="13"/>
      <c r="V13" t="str">
        <f>IF(U13&gt;0,SUM($U$5:U13),"")</f>
        <v/>
      </c>
    </row>
    <row r="14" spans="1:22" x14ac:dyDescent="0.4">
      <c r="A14">
        <v>10</v>
      </c>
      <c r="B14" s="20" t="s">
        <v>135</v>
      </c>
      <c r="C14" s="9"/>
      <c r="E14" s="5"/>
      <c r="N14" t="str">
        <f t="shared" si="1"/>
        <v/>
      </c>
      <c r="O14" s="6" t="str">
        <f t="shared" si="0"/>
        <v/>
      </c>
      <c r="P14">
        <v>98.793060302734375</v>
      </c>
      <c r="S14">
        <v>10</v>
      </c>
      <c r="T14" s="13"/>
      <c r="V14" t="str">
        <f>IF(U14&gt;0,SUM($U$5:U14),"")</f>
        <v/>
      </c>
    </row>
    <row r="15" spans="1:22" x14ac:dyDescent="0.4">
      <c r="A15">
        <v>11</v>
      </c>
      <c r="B15" s="20" t="s">
        <v>135</v>
      </c>
      <c r="C15" s="9"/>
      <c r="E15" s="5"/>
      <c r="N15" t="str">
        <f t="shared" si="1"/>
        <v/>
      </c>
      <c r="O15" s="6" t="str">
        <f t="shared" si="0"/>
        <v/>
      </c>
      <c r="P15">
        <v>138.34638977050781</v>
      </c>
      <c r="S15">
        <v>11</v>
      </c>
      <c r="T15" s="13"/>
      <c r="V15" t="str">
        <f>IF(U15&gt;0,SUM($U$5:U15),"")</f>
        <v/>
      </c>
    </row>
    <row r="16" spans="1:22" x14ac:dyDescent="0.4">
      <c r="A16">
        <v>12</v>
      </c>
      <c r="B16" s="20" t="s">
        <v>135</v>
      </c>
      <c r="C16" s="9"/>
      <c r="E16" s="5"/>
      <c r="N16" t="str">
        <f t="shared" si="1"/>
        <v/>
      </c>
      <c r="O16" s="6" t="str">
        <f t="shared" si="0"/>
        <v/>
      </c>
      <c r="P16">
        <v>90.008132934570313</v>
      </c>
      <c r="S16">
        <v>12</v>
      </c>
      <c r="T16" s="13"/>
      <c r="V16" t="str">
        <f>IF(U16&gt;0,SUM($U$5:U16),"")</f>
        <v/>
      </c>
    </row>
    <row r="17" spans="1:22" x14ac:dyDescent="0.4">
      <c r="A17">
        <v>13</v>
      </c>
      <c r="B17" s="20" t="s">
        <v>135</v>
      </c>
      <c r="C17" s="9"/>
      <c r="E17" s="5"/>
      <c r="N17" t="str">
        <f t="shared" si="1"/>
        <v/>
      </c>
      <c r="O17" s="6" t="str">
        <f t="shared" si="0"/>
        <v/>
      </c>
      <c r="P17">
        <v>132.60737609863281</v>
      </c>
      <c r="S17">
        <v>13</v>
      </c>
      <c r="T17" s="13"/>
      <c r="V17" t="str">
        <f>IF(U17&gt;0,SUM($U$5:U17),"")</f>
        <v/>
      </c>
    </row>
    <row r="18" spans="1:22" x14ac:dyDescent="0.4">
      <c r="A18">
        <v>14</v>
      </c>
      <c r="B18" s="20" t="s">
        <v>135</v>
      </c>
      <c r="C18" s="9"/>
      <c r="E18" s="5"/>
      <c r="N18" t="str">
        <f t="shared" si="1"/>
        <v/>
      </c>
      <c r="O18" s="6" t="str">
        <f t="shared" si="0"/>
        <v/>
      </c>
      <c r="P18">
        <v>115.72430419921875</v>
      </c>
      <c r="S18">
        <v>14</v>
      </c>
      <c r="T18" s="13"/>
      <c r="V18" t="str">
        <f>IF(U18&gt;0,SUM($U$5:U18),"")</f>
        <v/>
      </c>
    </row>
    <row r="19" spans="1:22" x14ac:dyDescent="0.4">
      <c r="A19">
        <v>15</v>
      </c>
      <c r="B19" s="20" t="s">
        <v>565</v>
      </c>
      <c r="C19" s="9"/>
      <c r="E19" s="5"/>
      <c r="N19" t="str">
        <f t="shared" si="1"/>
        <v/>
      </c>
      <c r="O19" s="6" t="str">
        <f t="shared" si="0"/>
        <v/>
      </c>
      <c r="P19">
        <v>120.54977416992187</v>
      </c>
      <c r="S19">
        <v>15</v>
      </c>
      <c r="T19" s="13"/>
      <c r="V19" t="str">
        <f>IF(U19&gt;0,SUM($U$5:U19),"")</f>
        <v/>
      </c>
    </row>
    <row r="20" spans="1:22" x14ac:dyDescent="0.4">
      <c r="A20">
        <v>16</v>
      </c>
      <c r="B20" s="20" t="s">
        <v>570</v>
      </c>
      <c r="C20" s="9"/>
      <c r="E20" s="5"/>
      <c r="N20" t="str">
        <f t="shared" si="1"/>
        <v/>
      </c>
      <c r="O20" s="6" t="str">
        <f t="shared" si="0"/>
        <v/>
      </c>
      <c r="P20">
        <v>84.76708984375</v>
      </c>
      <c r="S20">
        <v>16</v>
      </c>
      <c r="T20" s="13"/>
      <c r="V20" t="str">
        <f>IF(U20&gt;0,SUM($U$5:U20),"")</f>
        <v/>
      </c>
    </row>
    <row r="21" spans="1:22" x14ac:dyDescent="0.4">
      <c r="A21">
        <v>17</v>
      </c>
      <c r="B21" s="20" t="s">
        <v>570</v>
      </c>
      <c r="C21" s="9"/>
      <c r="E21" s="5"/>
      <c r="N21" t="str">
        <f t="shared" si="1"/>
        <v/>
      </c>
      <c r="O21" s="6" t="str">
        <f t="shared" si="0"/>
        <v/>
      </c>
      <c r="P21">
        <v>94.15399169921875</v>
      </c>
      <c r="S21">
        <v>17</v>
      </c>
      <c r="T21" s="13"/>
      <c r="V21" t="str">
        <f>IF(U21&gt;0,SUM($U$5:U21),"")</f>
        <v/>
      </c>
    </row>
    <row r="22" spans="1:22" x14ac:dyDescent="0.4">
      <c r="A22">
        <v>18</v>
      </c>
      <c r="B22" s="20" t="s">
        <v>574</v>
      </c>
      <c r="C22" s="33"/>
      <c r="E22" s="5"/>
      <c r="N22" t="str">
        <f t="shared" si="1"/>
        <v/>
      </c>
      <c r="O22" s="6" t="str">
        <f t="shared" si="0"/>
        <v/>
      </c>
      <c r="P22">
        <v>87.883193969726562</v>
      </c>
      <c r="S22">
        <v>18</v>
      </c>
      <c r="T22" s="13"/>
      <c r="V22" t="str">
        <f>IF(U22&gt;0,SUM($U$5:U22),"")</f>
        <v/>
      </c>
    </row>
    <row r="23" spans="1:22" x14ac:dyDescent="0.4">
      <c r="A23">
        <v>19</v>
      </c>
      <c r="B23" s="20" t="s">
        <v>574</v>
      </c>
      <c r="C23" s="9"/>
      <c r="E23" s="5"/>
      <c r="N23" t="str">
        <f t="shared" si="1"/>
        <v/>
      </c>
      <c r="O23" s="6" t="str">
        <f t="shared" si="0"/>
        <v/>
      </c>
      <c r="P23">
        <v>124.24873352050781</v>
      </c>
      <c r="S23">
        <v>19</v>
      </c>
      <c r="T23" s="13"/>
      <c r="V23" t="str">
        <f>IF(U23&gt;0,SUM($U$5:U23),"")</f>
        <v/>
      </c>
    </row>
    <row r="24" spans="1:22" x14ac:dyDescent="0.4">
      <c r="A24">
        <v>20</v>
      </c>
      <c r="B24" s="20" t="s">
        <v>574</v>
      </c>
      <c r="C24" s="9"/>
      <c r="E24" s="5"/>
      <c r="N24" t="str">
        <f t="shared" si="1"/>
        <v/>
      </c>
      <c r="O24" s="6" t="str">
        <f t="shared" si="0"/>
        <v/>
      </c>
      <c r="P24">
        <v>120.00538635253906</v>
      </c>
      <c r="S24">
        <v>20</v>
      </c>
      <c r="T24" s="13"/>
      <c r="V24" t="str">
        <f>IF(U24&gt;0,SUM($U$5:U24),"")</f>
        <v/>
      </c>
    </row>
    <row r="25" spans="1:22" x14ac:dyDescent="0.4">
      <c r="A25">
        <v>21</v>
      </c>
      <c r="B25" s="20" t="s">
        <v>574</v>
      </c>
      <c r="C25" s="9"/>
      <c r="E25" s="5"/>
      <c r="N25" t="str">
        <f t="shared" si="1"/>
        <v/>
      </c>
      <c r="O25" s="6" t="str">
        <f t="shared" si="0"/>
        <v/>
      </c>
      <c r="P25">
        <v>123.68190002441406</v>
      </c>
      <c r="S25">
        <v>21</v>
      </c>
      <c r="T25" s="13"/>
      <c r="V25" t="str">
        <f>IF(U25&gt;0,SUM($U$5:U25),"")</f>
        <v/>
      </c>
    </row>
    <row r="26" spans="1:22" x14ac:dyDescent="0.4">
      <c r="A26">
        <v>22</v>
      </c>
      <c r="B26" s="20" t="s">
        <v>574</v>
      </c>
      <c r="C26" s="9"/>
      <c r="E26" s="5"/>
      <c r="N26" t="str">
        <f t="shared" si="1"/>
        <v/>
      </c>
      <c r="O26" s="6" t="str">
        <f t="shared" si="0"/>
        <v/>
      </c>
      <c r="P26">
        <v>104.62139892578125</v>
      </c>
      <c r="S26">
        <v>22</v>
      </c>
      <c r="T26" s="13"/>
      <c r="V26" t="str">
        <f>IF(U26&gt;0,SUM($U$5:U26),"")</f>
        <v/>
      </c>
    </row>
    <row r="27" spans="1:22" x14ac:dyDescent="0.4">
      <c r="A27">
        <v>23</v>
      </c>
      <c r="B27" s="20" t="s">
        <v>574</v>
      </c>
      <c r="C27" s="9"/>
      <c r="E27" s="5"/>
      <c r="N27" t="str">
        <f t="shared" si="1"/>
        <v/>
      </c>
      <c r="O27" s="6" t="str">
        <f t="shared" si="0"/>
        <v/>
      </c>
      <c r="P27">
        <v>120.40034484863281</v>
      </c>
      <c r="S27">
        <v>23</v>
      </c>
      <c r="T27" s="13"/>
      <c r="V27" t="str">
        <f>IF(U27&gt;0,SUM($U$5:U27),"")</f>
        <v/>
      </c>
    </row>
    <row r="28" spans="1:22" x14ac:dyDescent="0.4">
      <c r="A28">
        <v>24</v>
      </c>
      <c r="B28" s="20" t="s">
        <v>574</v>
      </c>
      <c r="C28" s="9"/>
      <c r="E28" s="5"/>
      <c r="N28" t="str">
        <f t="shared" si="1"/>
        <v/>
      </c>
      <c r="O28" s="6" t="str">
        <f t="shared" si="0"/>
        <v/>
      </c>
      <c r="P28">
        <v>114.05499267578125</v>
      </c>
      <c r="S28">
        <v>24</v>
      </c>
      <c r="T28" s="13"/>
      <c r="V28" t="str">
        <f>IF(U28&gt;0,SUM($U$5:U28),"")</f>
        <v/>
      </c>
    </row>
    <row r="29" spans="1:22" x14ac:dyDescent="0.4">
      <c r="A29">
        <v>25</v>
      </c>
      <c r="B29" s="20" t="s">
        <v>574</v>
      </c>
      <c r="C29" s="33"/>
      <c r="E29" s="5"/>
      <c r="N29" t="str">
        <f t="shared" si="1"/>
        <v/>
      </c>
      <c r="O29" s="6" t="str">
        <f t="shared" si="0"/>
        <v/>
      </c>
      <c r="P29">
        <v>110.40121459960937</v>
      </c>
      <c r="S29">
        <v>25</v>
      </c>
      <c r="T29" s="13"/>
      <c r="V29" t="str">
        <f>IF(U29&gt;0,SUM($U$5:U29),"")</f>
        <v/>
      </c>
    </row>
    <row r="30" spans="1:22" x14ac:dyDescent="0.4">
      <c r="A30">
        <v>26</v>
      </c>
      <c r="B30" s="20" t="s">
        <v>574</v>
      </c>
      <c r="C30" s="9"/>
      <c r="E30" s="5"/>
      <c r="N30" t="str">
        <f t="shared" si="1"/>
        <v/>
      </c>
      <c r="O30" s="6" t="str">
        <f t="shared" si="0"/>
        <v/>
      </c>
      <c r="P30">
        <v>97.410186767578125</v>
      </c>
      <c r="S30">
        <v>26</v>
      </c>
      <c r="T30" s="13"/>
      <c r="V30" t="str">
        <f>IF(U30&gt;0,SUM($U$5:U30),"")</f>
        <v/>
      </c>
    </row>
    <row r="31" spans="1:22" x14ac:dyDescent="0.4">
      <c r="A31">
        <v>27</v>
      </c>
      <c r="B31" s="20" t="s">
        <v>574</v>
      </c>
      <c r="C31" s="9"/>
      <c r="E31" s="5"/>
      <c r="N31" t="str">
        <f t="shared" si="1"/>
        <v/>
      </c>
      <c r="O31" s="6" t="str">
        <f t="shared" si="0"/>
        <v/>
      </c>
      <c r="P31">
        <v>122.39796447753906</v>
      </c>
      <c r="S31">
        <v>27</v>
      </c>
      <c r="T31" s="13"/>
      <c r="V31" t="str">
        <f>IF(U31&gt;0,SUM($U$5:U31),"")</f>
        <v/>
      </c>
    </row>
    <row r="32" spans="1:22" x14ac:dyDescent="0.4">
      <c r="A32">
        <v>28</v>
      </c>
      <c r="B32" s="20" t="s">
        <v>574</v>
      </c>
      <c r="C32" s="9"/>
      <c r="E32" s="5"/>
      <c r="N32" t="str">
        <f t="shared" si="1"/>
        <v/>
      </c>
      <c r="O32" s="6" t="str">
        <f t="shared" si="0"/>
        <v/>
      </c>
      <c r="P32">
        <v>104.15190124511719</v>
      </c>
      <c r="S32">
        <v>28</v>
      </c>
      <c r="T32" s="13"/>
      <c r="V32" t="str">
        <f>IF(U32&gt;0,SUM($U$5:U32),"")</f>
        <v/>
      </c>
    </row>
    <row r="33" spans="1:22" x14ac:dyDescent="0.4">
      <c r="A33">
        <v>29</v>
      </c>
      <c r="B33" s="20" t="s">
        <v>574</v>
      </c>
      <c r="C33" s="9"/>
      <c r="E33" s="5"/>
      <c r="N33" t="str">
        <f t="shared" si="1"/>
        <v/>
      </c>
      <c r="O33" s="6" t="str">
        <f t="shared" si="0"/>
        <v/>
      </c>
      <c r="P33">
        <v>83.382537841796875</v>
      </c>
      <c r="S33">
        <v>29</v>
      </c>
      <c r="T33" s="13"/>
      <c r="V33" t="str">
        <f>IF(U33&gt;0,SUM($U$5:U33),"")</f>
        <v/>
      </c>
    </row>
    <row r="34" spans="1:22" x14ac:dyDescent="0.4">
      <c r="A34">
        <v>30</v>
      </c>
      <c r="B34" s="20" t="s">
        <v>574</v>
      </c>
      <c r="C34" s="9"/>
      <c r="E34" s="5"/>
      <c r="N34" t="str">
        <f t="shared" si="1"/>
        <v/>
      </c>
      <c r="O34" s="6" t="str">
        <f t="shared" si="0"/>
        <v/>
      </c>
      <c r="P34">
        <v>92.634185791015625</v>
      </c>
      <c r="S34">
        <v>30</v>
      </c>
      <c r="T34" s="13"/>
      <c r="V34" t="str">
        <f>IF(U34&gt;0,SUM($U$5:U34),"")</f>
        <v/>
      </c>
    </row>
    <row r="35" spans="1:22" x14ac:dyDescent="0.4">
      <c r="A35">
        <v>31</v>
      </c>
      <c r="B35" s="20" t="s">
        <v>574</v>
      </c>
      <c r="C35" s="9"/>
      <c r="E35" s="5"/>
      <c r="N35" t="str">
        <f t="shared" si="1"/>
        <v/>
      </c>
      <c r="O35" s="6" t="str">
        <f t="shared" si="0"/>
        <v/>
      </c>
      <c r="P35">
        <v>135.70162963867187</v>
      </c>
      <c r="S35">
        <v>31</v>
      </c>
      <c r="T35" s="13"/>
      <c r="V35" t="str">
        <f>IF(U35&gt;0,SUM($U$5:U35),"")</f>
        <v/>
      </c>
    </row>
    <row r="36" spans="1:22" x14ac:dyDescent="0.4">
      <c r="A36">
        <v>32</v>
      </c>
      <c r="B36" s="20" t="s">
        <v>574</v>
      </c>
      <c r="C36" s="9"/>
      <c r="E36" s="5"/>
      <c r="N36" t="str">
        <f t="shared" si="1"/>
        <v/>
      </c>
      <c r="O36" s="6" t="str">
        <f t="shared" si="0"/>
        <v/>
      </c>
      <c r="P36">
        <v>97.72955322265625</v>
      </c>
      <c r="S36">
        <v>32</v>
      </c>
      <c r="T36" s="13"/>
      <c r="V36" t="str">
        <f>IF(U36&gt;0,SUM($U$5:U36),"")</f>
        <v/>
      </c>
    </row>
    <row r="37" spans="1:22" x14ac:dyDescent="0.4">
      <c r="A37">
        <v>33</v>
      </c>
      <c r="B37" s="20" t="s">
        <v>574</v>
      </c>
      <c r="C37" s="9"/>
      <c r="E37" s="5"/>
      <c r="N37" t="str">
        <f t="shared" si="1"/>
        <v/>
      </c>
      <c r="O37" s="6" t="str">
        <f t="shared" si="0"/>
        <v/>
      </c>
      <c r="P37">
        <v>76.375381469726563</v>
      </c>
      <c r="S37">
        <v>33</v>
      </c>
      <c r="T37" s="13"/>
      <c r="V37" t="str">
        <f>IF(U37&gt;0,SUM($U$5:U37),"")</f>
        <v/>
      </c>
    </row>
    <row r="38" spans="1:22" x14ac:dyDescent="0.4">
      <c r="A38">
        <v>34</v>
      </c>
      <c r="B38" s="20" t="s">
        <v>574</v>
      </c>
      <c r="C38" s="9"/>
      <c r="E38" s="5"/>
      <c r="N38" t="str">
        <f t="shared" si="1"/>
        <v/>
      </c>
      <c r="O38" s="6" t="str">
        <f t="shared" si="0"/>
        <v/>
      </c>
      <c r="P38">
        <v>107.44187927246094</v>
      </c>
      <c r="S38">
        <v>34</v>
      </c>
      <c r="T38" s="13"/>
      <c r="V38" t="str">
        <f>IF(U38&gt;0,SUM($U$5:U38),"")</f>
        <v/>
      </c>
    </row>
    <row r="39" spans="1:22" x14ac:dyDescent="0.4">
      <c r="A39">
        <v>35</v>
      </c>
      <c r="B39" s="20" t="s">
        <v>574</v>
      </c>
      <c r="C39" s="9"/>
      <c r="E39" s="5"/>
      <c r="N39" t="str">
        <f t="shared" si="1"/>
        <v/>
      </c>
      <c r="O39" s="6" t="str">
        <f t="shared" si="0"/>
        <v/>
      </c>
      <c r="P39">
        <v>72.694259643554688</v>
      </c>
      <c r="S39">
        <v>35</v>
      </c>
      <c r="T39" s="13"/>
      <c r="V39" t="str">
        <f>IF(U39&gt;0,SUM($U$5:U39),"")</f>
        <v/>
      </c>
    </row>
    <row r="40" spans="1:22" x14ac:dyDescent="0.4">
      <c r="A40">
        <v>36</v>
      </c>
      <c r="B40" s="20" t="s">
        <v>574</v>
      </c>
      <c r="C40" s="9"/>
      <c r="E40" s="5"/>
      <c r="N40" t="str">
        <f t="shared" si="1"/>
        <v/>
      </c>
      <c r="O40" s="6" t="str">
        <f t="shared" si="0"/>
        <v/>
      </c>
      <c r="P40">
        <v>78.404777526855469</v>
      </c>
      <c r="S40">
        <v>36</v>
      </c>
      <c r="T40" s="13"/>
      <c r="V40" t="str">
        <f>IF(U40&gt;0,SUM($U$5:U40),"")</f>
        <v/>
      </c>
    </row>
    <row r="41" spans="1:22" x14ac:dyDescent="0.4">
      <c r="A41">
        <v>37</v>
      </c>
      <c r="B41" s="20" t="s">
        <v>611</v>
      </c>
      <c r="C41" s="9"/>
      <c r="E41" s="5"/>
      <c r="N41" t="str">
        <f t="shared" si="1"/>
        <v/>
      </c>
      <c r="O41" s="6" t="str">
        <f t="shared" si="0"/>
        <v/>
      </c>
      <c r="P41">
        <v>83.658798217773437</v>
      </c>
      <c r="S41">
        <v>37</v>
      </c>
      <c r="T41" s="13"/>
      <c r="V41" t="str">
        <f>IF(U41&gt;0,SUM($U$5:U41),"")</f>
        <v/>
      </c>
    </row>
    <row r="42" spans="1:22" x14ac:dyDescent="0.4">
      <c r="A42">
        <v>38</v>
      </c>
      <c r="B42" s="20" t="s">
        <v>574</v>
      </c>
      <c r="C42" s="9"/>
      <c r="E42" s="5"/>
      <c r="N42" t="str">
        <f t="shared" si="1"/>
        <v/>
      </c>
      <c r="O42" s="6" t="str">
        <f t="shared" si="0"/>
        <v/>
      </c>
      <c r="P42">
        <v>100.27133178710937</v>
      </c>
      <c r="S42">
        <v>38</v>
      </c>
      <c r="T42" s="13"/>
      <c r="V42" t="str">
        <f>IF(U42&gt;0,SUM($U$5:U42),"")</f>
        <v/>
      </c>
    </row>
    <row r="43" spans="1:22" x14ac:dyDescent="0.4">
      <c r="A43">
        <v>39</v>
      </c>
      <c r="B43" s="20" t="s">
        <v>574</v>
      </c>
      <c r="C43" s="9"/>
      <c r="E43" s="5"/>
      <c r="N43" t="str">
        <f t="shared" si="1"/>
        <v/>
      </c>
      <c r="O43" s="6" t="str">
        <f t="shared" si="0"/>
        <v/>
      </c>
      <c r="P43">
        <v>98.72674560546875</v>
      </c>
      <c r="S43">
        <v>39</v>
      </c>
      <c r="T43" s="13"/>
      <c r="V43" t="str">
        <f>IF(U43&gt;0,SUM($U$5:U43),"")</f>
        <v/>
      </c>
    </row>
    <row r="44" spans="1:22" x14ac:dyDescent="0.4">
      <c r="A44">
        <v>40</v>
      </c>
      <c r="B44" s="20" t="s">
        <v>574</v>
      </c>
      <c r="C44" s="9"/>
      <c r="E44" s="5"/>
      <c r="N44" t="str">
        <f t="shared" si="1"/>
        <v/>
      </c>
      <c r="O44" s="6" t="str">
        <f t="shared" si="0"/>
        <v/>
      </c>
      <c r="P44">
        <v>92.811798095703125</v>
      </c>
      <c r="S44">
        <v>40</v>
      </c>
      <c r="T44" s="13"/>
      <c r="V44" t="str">
        <f>IF(U44&gt;0,SUM($U$5:U44),"")</f>
        <v/>
      </c>
    </row>
    <row r="45" spans="1:22" x14ac:dyDescent="0.4">
      <c r="A45">
        <v>41</v>
      </c>
      <c r="B45" s="20" t="s">
        <v>574</v>
      </c>
      <c r="C45" s="9"/>
      <c r="E45" s="5"/>
      <c r="N45" t="str">
        <f t="shared" si="1"/>
        <v/>
      </c>
      <c r="O45" s="6" t="str">
        <f t="shared" si="0"/>
        <v/>
      </c>
      <c r="P45">
        <v>107.96429443359375</v>
      </c>
      <c r="S45">
        <v>41</v>
      </c>
      <c r="T45" s="13"/>
      <c r="V45" t="str">
        <f>IF(U45&gt;0,SUM($U$5:U45),"")</f>
        <v/>
      </c>
    </row>
    <row r="46" spans="1:22" x14ac:dyDescent="0.4">
      <c r="A46">
        <v>42</v>
      </c>
      <c r="B46" s="20" t="s">
        <v>574</v>
      </c>
      <c r="C46" s="9"/>
      <c r="E46" s="5"/>
      <c r="N46" t="str">
        <f t="shared" si="1"/>
        <v/>
      </c>
      <c r="O46" s="6" t="str">
        <f t="shared" si="0"/>
        <v/>
      </c>
      <c r="P46">
        <v>99.436737060546875</v>
      </c>
      <c r="S46">
        <v>42</v>
      </c>
      <c r="T46" s="13"/>
      <c r="V46" t="str">
        <f>IF(U46&gt;0,SUM($U$5:U46),"")</f>
        <v/>
      </c>
    </row>
    <row r="47" spans="1:22" x14ac:dyDescent="0.4">
      <c r="A47">
        <v>43</v>
      </c>
      <c r="B47" s="20" t="s">
        <v>574</v>
      </c>
      <c r="C47" s="9"/>
      <c r="E47" s="5"/>
      <c r="N47" t="str">
        <f t="shared" si="1"/>
        <v/>
      </c>
      <c r="O47" s="6" t="str">
        <f t="shared" si="0"/>
        <v/>
      </c>
      <c r="P47">
        <v>59.546554565429688</v>
      </c>
      <c r="S47">
        <v>43</v>
      </c>
      <c r="T47" s="13"/>
      <c r="V47" t="str">
        <f>IF(U47&gt;0,SUM($U$5:U47),"")</f>
        <v/>
      </c>
    </row>
    <row r="48" spans="1:22" x14ac:dyDescent="0.4">
      <c r="A48">
        <v>44</v>
      </c>
      <c r="B48" s="20" t="s">
        <v>574</v>
      </c>
      <c r="C48" s="9"/>
      <c r="E48" s="5"/>
      <c r="N48" t="str">
        <f t="shared" si="1"/>
        <v/>
      </c>
      <c r="O48" s="6" t="str">
        <f t="shared" si="0"/>
        <v/>
      </c>
      <c r="P48">
        <v>52.82244873046875</v>
      </c>
      <c r="S48">
        <v>44</v>
      </c>
      <c r="T48" s="13"/>
      <c r="V48" t="str">
        <f>IF(U48&gt;0,SUM($U$5:U48),"")</f>
        <v/>
      </c>
    </row>
    <row r="49" spans="1:22" x14ac:dyDescent="0.4">
      <c r="A49">
        <v>45</v>
      </c>
      <c r="B49" s="20" t="s">
        <v>574</v>
      </c>
      <c r="C49" s="9"/>
      <c r="E49" s="5"/>
      <c r="N49" t="str">
        <f t="shared" si="1"/>
        <v/>
      </c>
      <c r="O49" s="6" t="str">
        <f t="shared" si="0"/>
        <v/>
      </c>
      <c r="P49">
        <v>75.02020263671875</v>
      </c>
      <c r="S49">
        <v>45</v>
      </c>
      <c r="T49" s="13"/>
      <c r="V49" t="str">
        <f>IF(U49&gt;0,SUM($U$5:U49),"")</f>
        <v/>
      </c>
    </row>
    <row r="50" spans="1:22" x14ac:dyDescent="0.4">
      <c r="A50">
        <v>46</v>
      </c>
      <c r="B50" s="20" t="s">
        <v>574</v>
      </c>
      <c r="C50" s="9"/>
      <c r="E50" s="5"/>
      <c r="N50" t="str">
        <f t="shared" si="1"/>
        <v/>
      </c>
      <c r="O50" s="6" t="str">
        <f t="shared" si="0"/>
        <v/>
      </c>
      <c r="P50">
        <v>79.4869384765625</v>
      </c>
      <c r="S50">
        <v>46</v>
      </c>
      <c r="T50" s="13"/>
      <c r="V50" t="str">
        <f>IF(U50&gt;0,SUM($U$5:U50),"")</f>
        <v/>
      </c>
    </row>
    <row r="51" spans="1:22" x14ac:dyDescent="0.4">
      <c r="A51">
        <v>47</v>
      </c>
      <c r="B51" s="20" t="s">
        <v>574</v>
      </c>
      <c r="C51" s="9"/>
      <c r="E51" s="5"/>
      <c r="N51" t="str">
        <f t="shared" si="1"/>
        <v/>
      </c>
      <c r="O51" s="6" t="str">
        <f t="shared" si="0"/>
        <v/>
      </c>
      <c r="P51">
        <v>34.558883666992188</v>
      </c>
      <c r="S51">
        <v>47</v>
      </c>
      <c r="T51" s="13"/>
      <c r="V51" t="str">
        <f>IF(U51&gt;0,SUM($U$5:U51),"")</f>
        <v/>
      </c>
    </row>
    <row r="52" spans="1:22" x14ac:dyDescent="0.4">
      <c r="A52">
        <v>48</v>
      </c>
      <c r="B52" s="20" t="s">
        <v>574</v>
      </c>
      <c r="C52" s="9"/>
      <c r="E52" s="5"/>
      <c r="N52" t="str">
        <f t="shared" si="1"/>
        <v/>
      </c>
      <c r="O52" s="6" t="str">
        <f t="shared" si="0"/>
        <v/>
      </c>
      <c r="P52">
        <v>119.05372619628906</v>
      </c>
      <c r="S52">
        <v>48</v>
      </c>
      <c r="T52" s="13"/>
      <c r="V52" t="str">
        <f>IF(U52&gt;0,SUM($U$5:U52),"")</f>
        <v/>
      </c>
    </row>
    <row r="53" spans="1:22" x14ac:dyDescent="0.4">
      <c r="A53">
        <v>49</v>
      </c>
      <c r="B53" s="20" t="s">
        <v>574</v>
      </c>
      <c r="C53" s="9"/>
      <c r="E53" s="5"/>
      <c r="N53" t="str">
        <f t="shared" si="1"/>
        <v/>
      </c>
      <c r="O53" s="6" t="str">
        <f t="shared" si="0"/>
        <v/>
      </c>
      <c r="P53">
        <v>114.46316528320312</v>
      </c>
      <c r="S53">
        <v>49</v>
      </c>
      <c r="T53" s="13"/>
      <c r="V53" t="str">
        <f>IF(U53&gt;0,SUM($U$5:U53),"")</f>
        <v/>
      </c>
    </row>
    <row r="54" spans="1:22" x14ac:dyDescent="0.4">
      <c r="A54">
        <v>50</v>
      </c>
      <c r="B54" s="20" t="s">
        <v>574</v>
      </c>
      <c r="C54" s="9"/>
      <c r="E54" s="5"/>
      <c r="N54" t="str">
        <f t="shared" si="1"/>
        <v/>
      </c>
      <c r="O54" s="6" t="str">
        <f t="shared" si="0"/>
        <v/>
      </c>
      <c r="P54">
        <v>71.815017700195312</v>
      </c>
      <c r="S54">
        <v>50</v>
      </c>
      <c r="T54" s="13"/>
      <c r="V54" t="str">
        <f>IF(U54&gt;0,SUM($U$5:U54),"")</f>
        <v/>
      </c>
    </row>
    <row r="55" spans="1:22" ht="16.5" x14ac:dyDescent="0.3">
      <c r="A55">
        <v>51</v>
      </c>
      <c r="E55" s="5"/>
      <c r="N55" t="str">
        <f t="shared" si="1"/>
        <v/>
      </c>
      <c r="O55" s="6" t="str">
        <f t="shared" si="0"/>
        <v/>
      </c>
      <c r="P55">
        <v>71.315704345703125</v>
      </c>
      <c r="S55">
        <v>51</v>
      </c>
      <c r="V55" t="str">
        <f>IF(U55&gt;0,SUM($U$5:U55),"")</f>
        <v/>
      </c>
    </row>
    <row r="56" spans="1:22" ht="16.5" x14ac:dyDescent="0.3">
      <c r="A56">
        <v>52</v>
      </c>
      <c r="E56" s="5"/>
      <c r="N56" t="str">
        <f t="shared" si="1"/>
        <v/>
      </c>
      <c r="O56" s="6" t="str">
        <f t="shared" si="0"/>
        <v/>
      </c>
      <c r="P56">
        <v>122.39285278320312</v>
      </c>
      <c r="S56">
        <v>52</v>
      </c>
      <c r="V56" t="str">
        <f>IF(U56&gt;0,SUM($U$5:U56),"")</f>
        <v/>
      </c>
    </row>
    <row r="57" spans="1:22" ht="16.5" x14ac:dyDescent="0.3">
      <c r="A57">
        <v>53</v>
      </c>
      <c r="E57" s="5"/>
      <c r="N57" t="str">
        <f t="shared" si="1"/>
        <v/>
      </c>
      <c r="O57" s="6" t="str">
        <f t="shared" si="0"/>
        <v/>
      </c>
      <c r="P57">
        <v>90.881240844726563</v>
      </c>
      <c r="S57">
        <v>53</v>
      </c>
      <c r="V57" t="str">
        <f>IF(U57&gt;0,SUM($U$5:U57),"")</f>
        <v/>
      </c>
    </row>
    <row r="58" spans="1:22" ht="16.5" x14ac:dyDescent="0.3">
      <c r="A58">
        <v>54</v>
      </c>
      <c r="E58" s="5"/>
      <c r="N58" t="str">
        <f t="shared" si="1"/>
        <v/>
      </c>
      <c r="O58" s="6" t="str">
        <f t="shared" si="0"/>
        <v/>
      </c>
      <c r="P58">
        <v>63.768272399902344</v>
      </c>
      <c r="S58">
        <v>54</v>
      </c>
      <c r="V58" t="str">
        <f>IF(U58&gt;0,SUM($U$5:U58),"")</f>
        <v/>
      </c>
    </row>
    <row r="59" spans="1:22" ht="16.5" x14ac:dyDescent="0.3">
      <c r="A59">
        <v>55</v>
      </c>
      <c r="E59" s="5"/>
      <c r="N59" t="str">
        <f t="shared" si="1"/>
        <v/>
      </c>
      <c r="O59" s="6" t="str">
        <f t="shared" si="0"/>
        <v/>
      </c>
      <c r="P59">
        <v>90.789215087890625</v>
      </c>
      <c r="S59">
        <v>55</v>
      </c>
      <c r="V59" t="str">
        <f>IF(U59&gt;0,SUM($U$5:U59),"")</f>
        <v/>
      </c>
    </row>
    <row r="60" spans="1:22" ht="16.5" x14ac:dyDescent="0.3">
      <c r="A60">
        <v>56</v>
      </c>
      <c r="E60" s="5"/>
      <c r="N60" t="str">
        <f t="shared" si="1"/>
        <v/>
      </c>
      <c r="O60" s="6" t="str">
        <f t="shared" si="0"/>
        <v/>
      </c>
      <c r="P60">
        <v>104.42417907714844</v>
      </c>
      <c r="S60">
        <v>56</v>
      </c>
      <c r="V60" t="str">
        <f>IF(U60&gt;0,SUM($U$5:U60),"")</f>
        <v/>
      </c>
    </row>
    <row r="61" spans="1:22" ht="16.5" x14ac:dyDescent="0.3">
      <c r="A61">
        <v>57</v>
      </c>
      <c r="E61" s="5"/>
      <c r="N61" t="str">
        <f t="shared" si="1"/>
        <v/>
      </c>
      <c r="O61" s="6" t="str">
        <f t="shared" si="0"/>
        <v/>
      </c>
      <c r="P61">
        <v>76.130661010742188</v>
      </c>
      <c r="S61">
        <v>57</v>
      </c>
      <c r="V61" t="str">
        <f>IF(U61&gt;0,SUM($U$5:U61),"")</f>
        <v/>
      </c>
    </row>
    <row r="62" spans="1:22" ht="16.5" x14ac:dyDescent="0.3">
      <c r="A62">
        <v>58</v>
      </c>
      <c r="E62" s="5"/>
      <c r="N62" t="str">
        <f t="shared" si="1"/>
        <v/>
      </c>
      <c r="O62" s="6" t="str">
        <f t="shared" si="0"/>
        <v/>
      </c>
      <c r="P62">
        <v>53.323745727539063</v>
      </c>
      <c r="S62">
        <v>58</v>
      </c>
      <c r="V62" t="str">
        <f>IF(U62&gt;0,SUM($U$5:U62),"")</f>
        <v/>
      </c>
    </row>
    <row r="63" spans="1:22" ht="16.5" x14ac:dyDescent="0.3">
      <c r="A63">
        <v>59</v>
      </c>
      <c r="E63" s="5"/>
      <c r="N63" t="str">
        <f t="shared" si="1"/>
        <v/>
      </c>
      <c r="O63" s="6" t="str">
        <f t="shared" si="0"/>
        <v/>
      </c>
      <c r="P63">
        <v>38.363571166992188</v>
      </c>
      <c r="S63">
        <v>59</v>
      </c>
      <c r="V63" t="str">
        <f>IF(U63&gt;0,SUM($U$5:U63),"")</f>
        <v/>
      </c>
    </row>
    <row r="64" spans="1:22" ht="16.5" x14ac:dyDescent="0.3">
      <c r="A64">
        <v>60</v>
      </c>
      <c r="E64" s="5"/>
      <c r="N64" t="str">
        <f t="shared" si="1"/>
        <v/>
      </c>
      <c r="O64" s="6" t="str">
        <f t="shared" si="0"/>
        <v/>
      </c>
      <c r="P64">
        <v>126.18891906738281</v>
      </c>
      <c r="S64">
        <v>60</v>
      </c>
      <c r="V64" t="str">
        <f>IF(U64&gt;0,SUM($U$5:U64),"")</f>
        <v/>
      </c>
    </row>
    <row r="65" spans="1:22" ht="16.5" x14ac:dyDescent="0.3">
      <c r="A65">
        <v>61</v>
      </c>
      <c r="E65" s="5"/>
      <c r="N65" t="str">
        <f t="shared" si="1"/>
        <v/>
      </c>
      <c r="O65" s="6" t="str">
        <f t="shared" si="0"/>
        <v/>
      </c>
      <c r="P65">
        <v>77.706619262695313</v>
      </c>
      <c r="S65">
        <v>61</v>
      </c>
      <c r="V65" t="str">
        <f>IF(U65&gt;0,SUM($U$5:U65),"")</f>
        <v/>
      </c>
    </row>
    <row r="66" spans="1:22" ht="16.5" x14ac:dyDescent="0.3">
      <c r="A66">
        <v>62</v>
      </c>
      <c r="E66" s="5"/>
      <c r="N66" t="str">
        <f t="shared" si="1"/>
        <v/>
      </c>
      <c r="O66" s="6" t="str">
        <f t="shared" si="0"/>
        <v/>
      </c>
      <c r="P66">
        <v>82.95220947265625</v>
      </c>
      <c r="S66">
        <v>62</v>
      </c>
      <c r="V66" t="str">
        <f>IF(U66&gt;0,SUM($U$5:U66),"")</f>
        <v/>
      </c>
    </row>
    <row r="67" spans="1:22" ht="16.5" x14ac:dyDescent="0.3">
      <c r="A67">
        <v>63</v>
      </c>
      <c r="E67" s="5"/>
      <c r="N67" t="str">
        <f t="shared" si="1"/>
        <v/>
      </c>
      <c r="O67" s="6" t="str">
        <f t="shared" si="0"/>
        <v/>
      </c>
      <c r="P67">
        <v>37.274688720703125</v>
      </c>
      <c r="S67">
        <v>63</v>
      </c>
      <c r="V67" t="str">
        <f>IF(U67&gt;0,SUM($U$5:U67),"")</f>
        <v/>
      </c>
    </row>
    <row r="68" spans="1:22" ht="16.5" x14ac:dyDescent="0.3">
      <c r="A68">
        <v>64</v>
      </c>
      <c r="E68" s="5"/>
      <c r="N68" t="str">
        <f t="shared" si="1"/>
        <v/>
      </c>
      <c r="O68" s="6" t="str">
        <f t="shared" si="0"/>
        <v/>
      </c>
      <c r="P68">
        <v>75.523513793945313</v>
      </c>
      <c r="S68">
        <v>64</v>
      </c>
      <c r="V68" t="str">
        <f>IF(U68&gt;0,SUM($U$5:U68),"")</f>
        <v/>
      </c>
    </row>
    <row r="69" spans="1:22" ht="16.5" x14ac:dyDescent="0.3">
      <c r="A69">
        <v>65</v>
      </c>
      <c r="E69" s="5"/>
      <c r="N69" t="str">
        <f t="shared" si="1"/>
        <v/>
      </c>
      <c r="O69" s="6" t="str">
        <f t="shared" ref="O69:O127" si="2">IFERROR(L69/(M69+L69),"")</f>
        <v/>
      </c>
      <c r="P69">
        <v>109.27604675292969</v>
      </c>
      <c r="S69">
        <v>65</v>
      </c>
      <c r="V69" t="str">
        <f>IF(U69&gt;0,SUM($U$5:U69),"")</f>
        <v/>
      </c>
    </row>
    <row r="70" spans="1:22" ht="16.5" x14ac:dyDescent="0.3">
      <c r="A70">
        <v>66</v>
      </c>
      <c r="E70" s="5"/>
      <c r="N70" t="str">
        <f t="shared" ref="N70:N133" si="3">IFERROR(IF(L70+M70=0,"",L70+M70),"")</f>
        <v/>
      </c>
      <c r="O70" s="6" t="str">
        <f t="shared" si="2"/>
        <v/>
      </c>
      <c r="P70">
        <v>68.765701293945313</v>
      </c>
      <c r="S70">
        <v>66</v>
      </c>
      <c r="V70" t="str">
        <f>IF(U70&gt;0,SUM($U$5:U70),"")</f>
        <v/>
      </c>
    </row>
    <row r="71" spans="1:22" x14ac:dyDescent="0.4">
      <c r="A71">
        <v>67</v>
      </c>
      <c r="E71" s="5"/>
      <c r="N71" t="str">
        <f t="shared" si="3"/>
        <v/>
      </c>
      <c r="O71" s="6" t="str">
        <f t="shared" si="2"/>
        <v/>
      </c>
      <c r="P71">
        <v>48.228851318359375</v>
      </c>
      <c r="S71">
        <v>67</v>
      </c>
      <c r="V71" t="str">
        <f>IF(U71&gt;0,SUM($U$5:U71),"")</f>
        <v/>
      </c>
    </row>
    <row r="72" spans="1:22" x14ac:dyDescent="0.4">
      <c r="A72">
        <v>68</v>
      </c>
      <c r="E72" s="5"/>
      <c r="N72" t="str">
        <f t="shared" si="3"/>
        <v/>
      </c>
      <c r="O72" s="6" t="str">
        <f t="shared" si="2"/>
        <v/>
      </c>
      <c r="P72">
        <v>47.903152465820313</v>
      </c>
      <c r="S72">
        <v>68</v>
      </c>
      <c r="V72" t="str">
        <f>IF(U72&gt;0,SUM($U$5:U72),"")</f>
        <v/>
      </c>
    </row>
    <row r="73" spans="1:22" x14ac:dyDescent="0.4">
      <c r="A73">
        <v>69</v>
      </c>
      <c r="E73" s="5"/>
      <c r="N73" t="str">
        <f t="shared" si="3"/>
        <v/>
      </c>
      <c r="O73" s="6" t="str">
        <f t="shared" si="2"/>
        <v/>
      </c>
      <c r="P73">
        <v>81.426986694335938</v>
      </c>
      <c r="S73">
        <v>69</v>
      </c>
      <c r="V73" t="str">
        <f>IF(U73&gt;0,SUM($U$5:U73),"")</f>
        <v/>
      </c>
    </row>
    <row r="74" spans="1:22" x14ac:dyDescent="0.4">
      <c r="A74">
        <v>70</v>
      </c>
      <c r="E74" s="5"/>
      <c r="N74" t="str">
        <f t="shared" si="3"/>
        <v/>
      </c>
      <c r="O74" s="6" t="str">
        <f t="shared" si="2"/>
        <v/>
      </c>
      <c r="P74">
        <v>64.411178588867187</v>
      </c>
      <c r="S74">
        <v>70</v>
      </c>
      <c r="V74" t="str">
        <f>IF(U74&gt;0,SUM($U$5:U74),"")</f>
        <v/>
      </c>
    </row>
    <row r="75" spans="1:22" x14ac:dyDescent="0.4">
      <c r="A75">
        <v>71</v>
      </c>
      <c r="E75" s="5"/>
      <c r="N75" t="str">
        <f t="shared" si="3"/>
        <v/>
      </c>
      <c r="O75" s="6" t="str">
        <f t="shared" si="2"/>
        <v/>
      </c>
      <c r="P75">
        <v>84.8056640625</v>
      </c>
      <c r="S75">
        <v>71</v>
      </c>
      <c r="V75" t="str">
        <f>IF(U75&gt;0,SUM($U$5:U75),"")</f>
        <v/>
      </c>
    </row>
    <row r="76" spans="1:22" x14ac:dyDescent="0.4">
      <c r="A76">
        <v>72</v>
      </c>
      <c r="E76" s="5"/>
      <c r="N76" t="str">
        <f t="shared" si="3"/>
        <v/>
      </c>
      <c r="O76" s="6" t="str">
        <f t="shared" si="2"/>
        <v/>
      </c>
      <c r="P76">
        <v>67.761215209960938</v>
      </c>
      <c r="S76">
        <v>72</v>
      </c>
      <c r="V76" t="str">
        <f>IF(U76&gt;0,SUM($U$5:U76),"")</f>
        <v/>
      </c>
    </row>
    <row r="77" spans="1:22" x14ac:dyDescent="0.4">
      <c r="A77">
        <v>73</v>
      </c>
      <c r="E77" s="5"/>
      <c r="N77" t="str">
        <f t="shared" si="3"/>
        <v/>
      </c>
      <c r="O77" s="6" t="str">
        <f t="shared" si="2"/>
        <v/>
      </c>
      <c r="P77">
        <v>55.019012451171875</v>
      </c>
      <c r="S77">
        <v>73</v>
      </c>
      <c r="V77" t="str">
        <f>IF(U77&gt;0,SUM($U$5:U77),"")</f>
        <v/>
      </c>
    </row>
    <row r="78" spans="1:22" x14ac:dyDescent="0.4">
      <c r="A78">
        <v>74</v>
      </c>
      <c r="E78" s="5"/>
      <c r="N78" t="str">
        <f t="shared" si="3"/>
        <v/>
      </c>
      <c r="O78" s="6" t="str">
        <f t="shared" si="2"/>
        <v/>
      </c>
      <c r="P78">
        <v>49.716873168945313</v>
      </c>
      <c r="S78">
        <v>74</v>
      </c>
      <c r="V78" t="str">
        <f>IF(U78&gt;0,SUM($U$5:U78),"")</f>
        <v/>
      </c>
    </row>
    <row r="79" spans="1:22" x14ac:dyDescent="0.4">
      <c r="A79">
        <v>75</v>
      </c>
      <c r="E79" s="5"/>
      <c r="N79" t="str">
        <f t="shared" si="3"/>
        <v/>
      </c>
      <c r="O79" s="6" t="str">
        <f t="shared" si="2"/>
        <v/>
      </c>
      <c r="P79">
        <v>34.708236694335938</v>
      </c>
      <c r="S79">
        <v>75</v>
      </c>
      <c r="V79" t="str">
        <f>IF(U79&gt;0,SUM($U$5:U79),"")</f>
        <v/>
      </c>
    </row>
    <row r="80" spans="1:22" x14ac:dyDescent="0.4">
      <c r="A80">
        <v>76</v>
      </c>
      <c r="E80" s="5"/>
      <c r="N80" t="str">
        <f t="shared" si="3"/>
        <v/>
      </c>
      <c r="O80" s="6" t="str">
        <f t="shared" si="2"/>
        <v/>
      </c>
      <c r="P80">
        <v>45.437057495117187</v>
      </c>
      <c r="S80">
        <v>76</v>
      </c>
      <c r="V80" t="str">
        <f>IF(U80&gt;0,SUM($U$5:U80),"")</f>
        <v/>
      </c>
    </row>
    <row r="81" spans="1:22" x14ac:dyDescent="0.4">
      <c r="A81">
        <v>77</v>
      </c>
      <c r="E81" s="5"/>
      <c r="N81" t="str">
        <f t="shared" si="3"/>
        <v/>
      </c>
      <c r="O81" s="6" t="str">
        <f t="shared" si="2"/>
        <v/>
      </c>
      <c r="P81">
        <v>99.811508178710938</v>
      </c>
      <c r="S81">
        <v>77</v>
      </c>
      <c r="V81" t="str">
        <f>IF(U81&gt;0,SUM($U$5:U81),"")</f>
        <v/>
      </c>
    </row>
    <row r="82" spans="1:22" x14ac:dyDescent="0.4">
      <c r="A82">
        <v>78</v>
      </c>
      <c r="E82" s="5"/>
      <c r="N82" t="str">
        <f t="shared" si="3"/>
        <v/>
      </c>
      <c r="O82" s="6" t="str">
        <f t="shared" si="2"/>
        <v/>
      </c>
      <c r="P82">
        <v>22.803359985351563</v>
      </c>
      <c r="S82">
        <v>78</v>
      </c>
      <c r="V82" t="str">
        <f>IF(U82&gt;0,SUM($U$5:U82),"")</f>
        <v/>
      </c>
    </row>
    <row r="83" spans="1:22" x14ac:dyDescent="0.4">
      <c r="A83">
        <v>79</v>
      </c>
      <c r="E83" s="5"/>
      <c r="N83" t="str">
        <f t="shared" si="3"/>
        <v/>
      </c>
      <c r="O83" s="6" t="str">
        <f t="shared" si="2"/>
        <v/>
      </c>
      <c r="P83">
        <v>23.5653076171875</v>
      </c>
      <c r="S83">
        <v>79</v>
      </c>
      <c r="V83" t="str">
        <f>IF(U83&gt;0,SUM($U$5:U83),"")</f>
        <v/>
      </c>
    </row>
    <row r="84" spans="1:22" x14ac:dyDescent="0.4">
      <c r="A84">
        <v>80</v>
      </c>
      <c r="E84" s="5"/>
      <c r="N84" t="str">
        <f t="shared" si="3"/>
        <v/>
      </c>
      <c r="O84" s="6" t="str">
        <f t="shared" si="2"/>
        <v/>
      </c>
      <c r="P84">
        <v>56.83306884765625</v>
      </c>
      <c r="S84">
        <v>80</v>
      </c>
      <c r="V84" t="str">
        <f>IF(U84&gt;0,SUM($U$5:U84),"")</f>
        <v/>
      </c>
    </row>
    <row r="85" spans="1:22" x14ac:dyDescent="0.4">
      <c r="A85">
        <v>81</v>
      </c>
      <c r="E85" s="5"/>
      <c r="N85" t="str">
        <f t="shared" si="3"/>
        <v/>
      </c>
      <c r="O85" s="6" t="str">
        <f t="shared" si="2"/>
        <v/>
      </c>
      <c r="P85">
        <v>57.448348999023438</v>
      </c>
      <c r="S85">
        <v>81</v>
      </c>
      <c r="V85" t="str">
        <f>IF(U85&gt;0,SUM($U$5:U85),"")</f>
        <v/>
      </c>
    </row>
    <row r="86" spans="1:22" x14ac:dyDescent="0.4">
      <c r="A86">
        <v>82</v>
      </c>
      <c r="E86" s="5"/>
      <c r="N86" t="str">
        <f t="shared" si="3"/>
        <v/>
      </c>
      <c r="O86" s="6" t="str">
        <f t="shared" si="2"/>
        <v/>
      </c>
      <c r="P86">
        <v>70.331893920898437</v>
      </c>
      <c r="S86">
        <v>82</v>
      </c>
      <c r="V86" t="str">
        <f>IF(U86&gt;0,SUM($U$5:U86),"")</f>
        <v/>
      </c>
    </row>
    <row r="87" spans="1:22" x14ac:dyDescent="0.4">
      <c r="A87">
        <v>83</v>
      </c>
      <c r="E87" s="5"/>
      <c r="N87" t="str">
        <f t="shared" si="3"/>
        <v/>
      </c>
      <c r="O87" s="6" t="str">
        <f t="shared" si="2"/>
        <v/>
      </c>
      <c r="P87">
        <v>95.318939208984375</v>
      </c>
      <c r="S87">
        <v>83</v>
      </c>
      <c r="V87" t="str">
        <f>IF(U87&gt;0,SUM($U$5:U87),"")</f>
        <v/>
      </c>
    </row>
    <row r="88" spans="1:22" x14ac:dyDescent="0.4">
      <c r="A88">
        <v>84</v>
      </c>
      <c r="E88" s="5"/>
      <c r="N88" t="str">
        <f t="shared" si="3"/>
        <v/>
      </c>
      <c r="O88" s="6" t="str">
        <f t="shared" si="2"/>
        <v/>
      </c>
      <c r="P88">
        <v>53.867111206054688</v>
      </c>
      <c r="S88">
        <v>84</v>
      </c>
      <c r="V88" t="str">
        <f>IF(U88&gt;0,SUM($U$5:U88),"")</f>
        <v/>
      </c>
    </row>
    <row r="89" spans="1:22" x14ac:dyDescent="0.4">
      <c r="A89">
        <v>85</v>
      </c>
      <c r="E89" s="5"/>
      <c r="N89" t="str">
        <f t="shared" si="3"/>
        <v/>
      </c>
      <c r="O89" s="6" t="str">
        <f t="shared" si="2"/>
        <v/>
      </c>
      <c r="P89">
        <v>15.866317749023438</v>
      </c>
      <c r="S89">
        <v>85</v>
      </c>
      <c r="V89" t="str">
        <f>IF(U89&gt;0,SUM($U$5:U89),"")</f>
        <v/>
      </c>
    </row>
    <row r="90" spans="1:22" x14ac:dyDescent="0.4">
      <c r="A90">
        <v>86</v>
      </c>
      <c r="E90" s="5"/>
      <c r="N90" t="str">
        <f t="shared" si="3"/>
        <v/>
      </c>
      <c r="O90" s="6" t="str">
        <f t="shared" si="2"/>
        <v/>
      </c>
      <c r="P90">
        <v>43.688583374023438</v>
      </c>
      <c r="S90">
        <v>86</v>
      </c>
      <c r="V90" t="str">
        <f>IF(U90&gt;0,SUM($U$5:U90),"")</f>
        <v/>
      </c>
    </row>
    <row r="91" spans="1:22" x14ac:dyDescent="0.4">
      <c r="A91">
        <v>87</v>
      </c>
      <c r="E91" s="5"/>
      <c r="N91" t="str">
        <f t="shared" si="3"/>
        <v/>
      </c>
      <c r="O91" s="6" t="str">
        <f t="shared" si="2"/>
        <v/>
      </c>
      <c r="P91">
        <v>17.853561401367188</v>
      </c>
      <c r="S91">
        <v>87</v>
      </c>
      <c r="V91" t="str">
        <f>IF(U91&gt;0,SUM($U$5:U91),"")</f>
        <v/>
      </c>
    </row>
    <row r="92" spans="1:22" x14ac:dyDescent="0.4">
      <c r="A92">
        <v>88</v>
      </c>
      <c r="E92" s="5"/>
      <c r="N92" t="str">
        <f t="shared" si="3"/>
        <v/>
      </c>
      <c r="O92" s="6" t="str">
        <f t="shared" si="2"/>
        <v/>
      </c>
      <c r="P92">
        <v>53.906265258789062</v>
      </c>
      <c r="S92">
        <v>88</v>
      </c>
      <c r="V92" t="str">
        <f>IF(U92&gt;0,SUM($U$5:U92),"")</f>
        <v/>
      </c>
    </row>
    <row r="93" spans="1:22" x14ac:dyDescent="0.4">
      <c r="A93">
        <v>89</v>
      </c>
      <c r="E93" s="5"/>
      <c r="N93" t="str">
        <f t="shared" si="3"/>
        <v/>
      </c>
      <c r="O93" s="6" t="str">
        <f t="shared" si="2"/>
        <v/>
      </c>
      <c r="P93">
        <v>71.328262329101562</v>
      </c>
      <c r="S93">
        <v>89</v>
      </c>
      <c r="V93" t="str">
        <f>IF(U93&gt;0,SUM($U$5:U93),"")</f>
        <v/>
      </c>
    </row>
    <row r="94" spans="1:22" x14ac:dyDescent="0.4">
      <c r="A94">
        <v>90</v>
      </c>
      <c r="E94" s="5"/>
      <c r="N94" t="str">
        <f t="shared" si="3"/>
        <v/>
      </c>
      <c r="O94" s="6" t="str">
        <f t="shared" si="2"/>
        <v/>
      </c>
      <c r="P94">
        <v>40.177574157714844</v>
      </c>
      <c r="S94">
        <v>90</v>
      </c>
      <c r="V94" t="str">
        <f>IF(U94&gt;0,SUM($U$5:U94),"")</f>
        <v/>
      </c>
    </row>
    <row r="95" spans="1:22" x14ac:dyDescent="0.4">
      <c r="A95">
        <v>91</v>
      </c>
      <c r="E95" s="5"/>
      <c r="N95" t="str">
        <f t="shared" si="3"/>
        <v/>
      </c>
      <c r="O95" s="6" t="str">
        <f t="shared" si="2"/>
        <v/>
      </c>
      <c r="P95">
        <v>46.741592407226563</v>
      </c>
      <c r="S95">
        <v>91</v>
      </c>
      <c r="V95" t="str">
        <f>IF(U95&gt;0,SUM($U$5:U95),"")</f>
        <v/>
      </c>
    </row>
    <row r="96" spans="1:22" x14ac:dyDescent="0.4">
      <c r="A96">
        <v>92</v>
      </c>
      <c r="E96" s="5"/>
      <c r="N96" t="str">
        <f t="shared" si="3"/>
        <v/>
      </c>
      <c r="O96" s="6" t="str">
        <f t="shared" si="2"/>
        <v/>
      </c>
      <c r="P96">
        <v>49.269256591796875</v>
      </c>
      <c r="S96">
        <v>92</v>
      </c>
      <c r="V96" t="str">
        <f>IF(U96&gt;0,SUM($U$5:U96),"")</f>
        <v/>
      </c>
    </row>
    <row r="97" spans="1:22" x14ac:dyDescent="0.4">
      <c r="A97">
        <v>93</v>
      </c>
      <c r="E97" s="5"/>
      <c r="N97" t="str">
        <f t="shared" si="3"/>
        <v/>
      </c>
      <c r="O97" s="6" t="str">
        <f t="shared" si="2"/>
        <v/>
      </c>
      <c r="P97">
        <v>10.782974243164063</v>
      </c>
      <c r="S97">
        <v>93</v>
      </c>
      <c r="V97" t="str">
        <f>IF(U97&gt;0,SUM($U$5:U97),"")</f>
        <v/>
      </c>
    </row>
    <row r="98" spans="1:22" x14ac:dyDescent="0.4">
      <c r="A98">
        <v>94</v>
      </c>
      <c r="E98" s="5"/>
      <c r="N98" t="str">
        <f t="shared" si="3"/>
        <v/>
      </c>
      <c r="O98" s="6" t="str">
        <f t="shared" si="2"/>
        <v/>
      </c>
      <c r="P98">
        <v>37.645767211914063</v>
      </c>
      <c r="S98">
        <v>94</v>
      </c>
      <c r="V98" t="str">
        <f>IF(U98&gt;0,SUM($U$5:U98),"")</f>
        <v/>
      </c>
    </row>
    <row r="99" spans="1:22" x14ac:dyDescent="0.4">
      <c r="A99">
        <v>95</v>
      </c>
      <c r="E99" s="5"/>
      <c r="N99" t="str">
        <f t="shared" si="3"/>
        <v/>
      </c>
      <c r="O99" s="6" t="str">
        <f t="shared" si="2"/>
        <v/>
      </c>
      <c r="P99">
        <v>3.21563720703125</v>
      </c>
      <c r="S99">
        <v>95</v>
      </c>
      <c r="V99" t="str">
        <f>IF(U99&gt;0,SUM($U$5:U99),"")</f>
        <v/>
      </c>
    </row>
    <row r="100" spans="1:22" x14ac:dyDescent="0.4">
      <c r="A100">
        <v>96</v>
      </c>
      <c r="E100" s="5"/>
      <c r="N100" t="str">
        <f t="shared" si="3"/>
        <v/>
      </c>
      <c r="O100" s="6" t="str">
        <f t="shared" si="2"/>
        <v/>
      </c>
      <c r="P100">
        <v>32.867019653320312</v>
      </c>
      <c r="S100">
        <v>96</v>
      </c>
      <c r="V100" t="str">
        <f>IF(U100&gt;0,SUM($U$5:U100),"")</f>
        <v/>
      </c>
    </row>
    <row r="101" spans="1:22" x14ac:dyDescent="0.4">
      <c r="A101">
        <v>97</v>
      </c>
      <c r="E101" s="5"/>
      <c r="N101" t="str">
        <f t="shared" si="3"/>
        <v/>
      </c>
      <c r="O101" s="6" t="str">
        <f t="shared" si="2"/>
        <v/>
      </c>
      <c r="P101">
        <v>71.332870483398438</v>
      </c>
      <c r="S101">
        <v>97</v>
      </c>
      <c r="V101" t="str">
        <f>IF(U101&gt;0,SUM($U$5:U101),"")</f>
        <v/>
      </c>
    </row>
    <row r="102" spans="1:22" x14ac:dyDescent="0.4">
      <c r="A102">
        <v>98</v>
      </c>
      <c r="E102" s="5"/>
      <c r="N102" t="str">
        <f t="shared" si="3"/>
        <v/>
      </c>
      <c r="O102" s="6" t="str">
        <f t="shared" si="2"/>
        <v/>
      </c>
      <c r="P102">
        <v>64.602890014648437</v>
      </c>
      <c r="S102">
        <v>98</v>
      </c>
      <c r="V102" t="str">
        <f>IF(U102&gt;0,SUM($U$5:U102),"")</f>
        <v/>
      </c>
    </row>
    <row r="103" spans="1:22" x14ac:dyDescent="0.4">
      <c r="A103">
        <v>99</v>
      </c>
      <c r="E103" s="5"/>
      <c r="N103" t="str">
        <f t="shared" si="3"/>
        <v/>
      </c>
      <c r="O103" s="6" t="str">
        <f t="shared" si="2"/>
        <v/>
      </c>
      <c r="P103">
        <v>21.474868774414063</v>
      </c>
      <c r="S103">
        <v>99</v>
      </c>
      <c r="V103" t="str">
        <f>IF(U103&gt;0,SUM($U$5:U103),"")</f>
        <v/>
      </c>
    </row>
    <row r="104" spans="1:22" x14ac:dyDescent="0.4">
      <c r="A104">
        <v>100</v>
      </c>
      <c r="E104" s="5"/>
      <c r="N104" t="str">
        <f t="shared" si="3"/>
        <v/>
      </c>
      <c r="O104" s="6" t="str">
        <f t="shared" si="2"/>
        <v/>
      </c>
      <c r="P104">
        <v>56.342315673828125</v>
      </c>
      <c r="S104">
        <v>100</v>
      </c>
      <c r="V104" t="str">
        <f>IF(U104&gt;0,SUM($U$5:U104),"")</f>
        <v/>
      </c>
    </row>
    <row r="105" spans="1:22" x14ac:dyDescent="0.4">
      <c r="A105">
        <v>101</v>
      </c>
      <c r="N105" t="str">
        <f t="shared" si="3"/>
        <v/>
      </c>
      <c r="O105" s="6" t="str">
        <f t="shared" si="2"/>
        <v/>
      </c>
      <c r="P105">
        <v>38.605972290039063</v>
      </c>
      <c r="S105">
        <v>101</v>
      </c>
      <c r="V105" t="str">
        <f>IF(U105&gt;0,SUM($U$5:U105),"")</f>
        <v/>
      </c>
    </row>
    <row r="106" spans="1:22" x14ac:dyDescent="0.4">
      <c r="A106">
        <v>102</v>
      </c>
      <c r="N106" t="str">
        <f t="shared" si="3"/>
        <v/>
      </c>
      <c r="O106" s="6" t="str">
        <f t="shared" si="2"/>
        <v/>
      </c>
      <c r="P106">
        <v>24.621597290039063</v>
      </c>
      <c r="S106">
        <v>102</v>
      </c>
      <c r="V106" t="str">
        <f>IF(U106&gt;0,SUM($U$5:U106),"")</f>
        <v/>
      </c>
    </row>
    <row r="107" spans="1:22" x14ac:dyDescent="0.4">
      <c r="A107">
        <v>103</v>
      </c>
      <c r="N107" t="str">
        <f t="shared" si="3"/>
        <v/>
      </c>
      <c r="O107" s="6" t="str">
        <f t="shared" si="2"/>
        <v/>
      </c>
      <c r="P107">
        <v>23.099502563476563</v>
      </c>
      <c r="S107">
        <v>103</v>
      </c>
      <c r="V107" t="str">
        <f>IF(U107&gt;0,SUM($U$5:U107),"")</f>
        <v/>
      </c>
    </row>
    <row r="108" spans="1:22" x14ac:dyDescent="0.4">
      <c r="A108">
        <v>104</v>
      </c>
      <c r="N108" t="str">
        <f t="shared" si="3"/>
        <v/>
      </c>
      <c r="O108" s="6" t="str">
        <f t="shared" si="2"/>
        <v/>
      </c>
      <c r="P108">
        <v>49.483978271484375</v>
      </c>
      <c r="S108">
        <v>104</v>
      </c>
      <c r="V108" t="str">
        <f>IF(U108&gt;0,SUM($U$5:U108),"")</f>
        <v/>
      </c>
    </row>
    <row r="109" spans="1:22" x14ac:dyDescent="0.4">
      <c r="A109">
        <v>105</v>
      </c>
      <c r="N109" t="str">
        <f t="shared" si="3"/>
        <v/>
      </c>
      <c r="O109" s="6" t="str">
        <f t="shared" si="2"/>
        <v/>
      </c>
      <c r="P109">
        <v>11.21075439453125</v>
      </c>
      <c r="S109">
        <v>105</v>
      </c>
      <c r="V109" t="str">
        <f>IF(U109&gt;0,SUM($U$5:U109),"")</f>
        <v/>
      </c>
    </row>
    <row r="110" spans="1:22" x14ac:dyDescent="0.4">
      <c r="A110">
        <v>106</v>
      </c>
      <c r="N110" t="str">
        <f t="shared" si="3"/>
        <v/>
      </c>
      <c r="O110" s="6" t="str">
        <f t="shared" si="2"/>
        <v/>
      </c>
      <c r="P110">
        <v>15.408157348632813</v>
      </c>
      <c r="S110">
        <v>106</v>
      </c>
      <c r="V110" t="str">
        <f>IF(U110&gt;0,SUM($U$5:U110),"")</f>
        <v/>
      </c>
    </row>
    <row r="111" spans="1:22" x14ac:dyDescent="0.4">
      <c r="A111">
        <v>107</v>
      </c>
      <c r="N111" t="str">
        <f t="shared" si="3"/>
        <v/>
      </c>
      <c r="O111" s="6" t="str">
        <f t="shared" si="2"/>
        <v/>
      </c>
      <c r="P111">
        <v>36.005859375</v>
      </c>
      <c r="S111">
        <v>107</v>
      </c>
      <c r="V111" t="str">
        <f>IF(U111&gt;0,SUM($U$5:U111),"")</f>
        <v/>
      </c>
    </row>
    <row r="112" spans="1:22" x14ac:dyDescent="0.4">
      <c r="A112">
        <v>108</v>
      </c>
      <c r="N112" t="str">
        <f t="shared" si="3"/>
        <v/>
      </c>
      <c r="O112" s="6" t="str">
        <f t="shared" si="2"/>
        <v/>
      </c>
      <c r="P112">
        <v>35.041946411132813</v>
      </c>
      <c r="S112">
        <v>108</v>
      </c>
      <c r="V112" t="str">
        <f>IF(U112&gt;0,SUM($U$5:U112),"")</f>
        <v/>
      </c>
    </row>
    <row r="113" spans="1:22" x14ac:dyDescent="0.4">
      <c r="A113">
        <v>109</v>
      </c>
      <c r="N113" t="str">
        <f t="shared" si="3"/>
        <v/>
      </c>
      <c r="O113" s="6" t="str">
        <f t="shared" si="2"/>
        <v/>
      </c>
      <c r="P113">
        <v>78.81011962890625</v>
      </c>
      <c r="S113">
        <v>109</v>
      </c>
      <c r="V113" t="str">
        <f>IF(U113&gt;0,SUM($U$5:U113),"")</f>
        <v/>
      </c>
    </row>
    <row r="114" spans="1:22" x14ac:dyDescent="0.4">
      <c r="A114">
        <v>110</v>
      </c>
      <c r="N114" t="str">
        <f t="shared" si="3"/>
        <v/>
      </c>
      <c r="O114" s="6" t="str">
        <f t="shared" si="2"/>
        <v/>
      </c>
      <c r="P114">
        <v>34.670089721679688</v>
      </c>
      <c r="S114">
        <v>110</v>
      </c>
      <c r="V114" t="str">
        <f>IF(U114&gt;0,SUM($U$5:U114),"")</f>
        <v/>
      </c>
    </row>
    <row r="115" spans="1:22" x14ac:dyDescent="0.4">
      <c r="A115">
        <v>111</v>
      </c>
      <c r="N115" t="str">
        <f t="shared" si="3"/>
        <v/>
      </c>
      <c r="O115" s="6" t="str">
        <f t="shared" si="2"/>
        <v/>
      </c>
      <c r="P115">
        <v>17.0068359375</v>
      </c>
      <c r="S115">
        <v>111</v>
      </c>
      <c r="V115" t="str">
        <f>IF(U115&gt;0,SUM($U$5:U115),"")</f>
        <v/>
      </c>
    </row>
    <row r="116" spans="1:22" x14ac:dyDescent="0.4">
      <c r="A116">
        <v>112</v>
      </c>
      <c r="N116" t="str">
        <f t="shared" si="3"/>
        <v/>
      </c>
      <c r="O116" s="6" t="str">
        <f t="shared" si="2"/>
        <v/>
      </c>
      <c r="P116">
        <v>26.162460327148438</v>
      </c>
      <c r="S116">
        <v>112</v>
      </c>
      <c r="V116" t="str">
        <f>IF(U116&gt;0,SUM($U$5:U116),"")</f>
        <v/>
      </c>
    </row>
    <row r="117" spans="1:22" x14ac:dyDescent="0.4">
      <c r="A117">
        <v>113</v>
      </c>
      <c r="N117" t="str">
        <f t="shared" si="3"/>
        <v/>
      </c>
      <c r="O117" s="6" t="str">
        <f t="shared" si="2"/>
        <v/>
      </c>
      <c r="P117">
        <v>33.041778564453125</v>
      </c>
      <c r="S117">
        <v>113</v>
      </c>
      <c r="V117" t="str">
        <f>IF(U117&gt;0,SUM($U$5:U117),"")</f>
        <v/>
      </c>
    </row>
    <row r="118" spans="1:22" x14ac:dyDescent="0.4">
      <c r="A118">
        <v>114</v>
      </c>
      <c r="N118" t="str">
        <f t="shared" si="3"/>
        <v/>
      </c>
      <c r="O118" s="6" t="str">
        <f t="shared" si="2"/>
        <v/>
      </c>
      <c r="P118">
        <v>63.338607788085938</v>
      </c>
      <c r="S118">
        <v>114</v>
      </c>
      <c r="V118" t="str">
        <f>IF(U118&gt;0,SUM($U$5:U118),"")</f>
        <v/>
      </c>
    </row>
    <row r="119" spans="1:22" x14ac:dyDescent="0.4">
      <c r="A119">
        <v>115</v>
      </c>
      <c r="N119" t="str">
        <f t="shared" si="3"/>
        <v/>
      </c>
      <c r="O119" s="6" t="str">
        <f t="shared" si="2"/>
        <v/>
      </c>
      <c r="P119">
        <v>14.439895629882812</v>
      </c>
      <c r="S119">
        <v>115</v>
      </c>
      <c r="V119" t="str">
        <f>IF(U119&gt;0,SUM($U$5:U119),"")</f>
        <v/>
      </c>
    </row>
    <row r="120" spans="1:22" x14ac:dyDescent="0.4">
      <c r="A120">
        <v>116</v>
      </c>
      <c r="N120" t="str">
        <f t="shared" si="3"/>
        <v/>
      </c>
      <c r="O120" s="6" t="str">
        <f t="shared" si="2"/>
        <v/>
      </c>
      <c r="P120">
        <v>75.724319458007812</v>
      </c>
      <c r="S120">
        <v>116</v>
      </c>
      <c r="V120" t="str">
        <f>IF(U120&gt;0,SUM($U$5:U120),"")</f>
        <v/>
      </c>
    </row>
    <row r="121" spans="1:22" x14ac:dyDescent="0.4">
      <c r="A121">
        <v>117</v>
      </c>
      <c r="N121" t="str">
        <f t="shared" si="3"/>
        <v/>
      </c>
      <c r="O121" s="6" t="str">
        <f t="shared" si="2"/>
        <v/>
      </c>
      <c r="P121">
        <v>22.962112426757813</v>
      </c>
      <c r="S121">
        <v>117</v>
      </c>
      <c r="V121" t="str">
        <f>IF(U121&gt;0,SUM($U$5:U121),"")</f>
        <v/>
      </c>
    </row>
    <row r="122" spans="1:22" x14ac:dyDescent="0.4">
      <c r="A122">
        <v>118</v>
      </c>
      <c r="N122" t="str">
        <f t="shared" si="3"/>
        <v/>
      </c>
      <c r="O122" s="6" t="str">
        <f t="shared" si="2"/>
        <v/>
      </c>
      <c r="P122">
        <v>17.963607788085937</v>
      </c>
      <c r="S122">
        <v>118</v>
      </c>
      <c r="V122" t="str">
        <f>IF(U122&gt;0,SUM($U$5:U122),"")</f>
        <v/>
      </c>
    </row>
    <row r="123" spans="1:22" x14ac:dyDescent="0.4">
      <c r="A123">
        <v>119</v>
      </c>
      <c r="N123" t="str">
        <f t="shared" si="3"/>
        <v/>
      </c>
      <c r="O123" s="6" t="str">
        <f t="shared" si="2"/>
        <v/>
      </c>
      <c r="P123">
        <v>45.448944091796875</v>
      </c>
      <c r="S123">
        <v>119</v>
      </c>
      <c r="V123" t="str">
        <f>IF(U123&gt;0,SUM($U$5:U123),"")</f>
        <v/>
      </c>
    </row>
    <row r="124" spans="1:22" x14ac:dyDescent="0.4">
      <c r="A124">
        <v>120</v>
      </c>
      <c r="N124" t="str">
        <f t="shared" si="3"/>
        <v/>
      </c>
      <c r="O124" s="6" t="str">
        <f t="shared" si="2"/>
        <v/>
      </c>
      <c r="P124">
        <v>6.8294219970703125</v>
      </c>
      <c r="S124">
        <v>120</v>
      </c>
      <c r="V124" t="str">
        <f>IF(U124&gt;0,SUM($U$5:U124),"")</f>
        <v/>
      </c>
    </row>
    <row r="125" spans="1:22" x14ac:dyDescent="0.4">
      <c r="A125">
        <v>121</v>
      </c>
      <c r="N125" t="str">
        <f t="shared" si="3"/>
        <v/>
      </c>
      <c r="O125" s="6" t="str">
        <f t="shared" si="2"/>
        <v/>
      </c>
      <c r="P125">
        <v>32.271499633789063</v>
      </c>
      <c r="S125">
        <v>121</v>
      </c>
      <c r="V125" t="str">
        <f>IF(U125&gt;0,SUM($U$5:U125),"")</f>
        <v/>
      </c>
    </row>
    <row r="126" spans="1:22" x14ac:dyDescent="0.4">
      <c r="A126">
        <v>122</v>
      </c>
      <c r="N126" t="str">
        <f t="shared" si="3"/>
        <v/>
      </c>
      <c r="O126" s="6" t="str">
        <f t="shared" si="2"/>
        <v/>
      </c>
      <c r="P126">
        <v>18.0362548828125</v>
      </c>
      <c r="S126">
        <v>122</v>
      </c>
      <c r="V126" t="str">
        <f>IF(U126&gt;0,SUM($U$5:U126),"")</f>
        <v/>
      </c>
    </row>
    <row r="127" spans="1:22" x14ac:dyDescent="0.4">
      <c r="A127">
        <v>123</v>
      </c>
      <c r="N127" t="str">
        <f t="shared" si="3"/>
        <v/>
      </c>
      <c r="O127" s="6" t="str">
        <f t="shared" si="2"/>
        <v/>
      </c>
      <c r="P127">
        <v>21.321624755859375</v>
      </c>
      <c r="S127">
        <v>123</v>
      </c>
      <c r="V127" t="str">
        <f>IF(U127&gt;0,SUM($U$5:U127),"")</f>
        <v/>
      </c>
    </row>
    <row r="128" spans="1:22" x14ac:dyDescent="0.4">
      <c r="A128">
        <v>124</v>
      </c>
      <c r="N128" t="str">
        <f t="shared" si="3"/>
        <v/>
      </c>
      <c r="O128" s="6"/>
      <c r="S128">
        <v>124</v>
      </c>
      <c r="V128" t="str">
        <f>IF(U128&gt;0,SUM($U$5:U128),"")</f>
        <v/>
      </c>
    </row>
    <row r="129" spans="1:22" x14ac:dyDescent="0.4">
      <c r="A129">
        <v>125</v>
      </c>
      <c r="N129" t="str">
        <f t="shared" si="3"/>
        <v/>
      </c>
      <c r="O129" s="6"/>
      <c r="S129">
        <v>125</v>
      </c>
      <c r="V129" t="str">
        <f>IF(U129&gt;0,SUM($U$5:U129),"")</f>
        <v/>
      </c>
    </row>
    <row r="130" spans="1:22" x14ac:dyDescent="0.4">
      <c r="A130">
        <v>126</v>
      </c>
      <c r="N130" t="str">
        <f t="shared" si="3"/>
        <v/>
      </c>
      <c r="O130" s="6"/>
      <c r="S130">
        <v>126</v>
      </c>
      <c r="V130" t="str">
        <f>IF(U130&gt;0,SUM($U$5:U130),"")</f>
        <v/>
      </c>
    </row>
    <row r="131" spans="1:22" x14ac:dyDescent="0.4">
      <c r="A131">
        <v>127</v>
      </c>
      <c r="N131" t="str">
        <f t="shared" si="3"/>
        <v/>
      </c>
      <c r="O131" s="6"/>
      <c r="S131">
        <v>127</v>
      </c>
      <c r="V131" t="str">
        <f>IF(U131&gt;0,SUM($U$5:U131),"")</f>
        <v/>
      </c>
    </row>
    <row r="132" spans="1:22" x14ac:dyDescent="0.4">
      <c r="A132">
        <v>128</v>
      </c>
      <c r="N132" t="str">
        <f t="shared" si="3"/>
        <v/>
      </c>
      <c r="O132" s="6"/>
      <c r="S132">
        <v>128</v>
      </c>
      <c r="V132" t="str">
        <f>IF(U132&gt;0,SUM($U$5:U132),"")</f>
        <v/>
      </c>
    </row>
    <row r="133" spans="1:22" x14ac:dyDescent="0.4">
      <c r="A133">
        <v>129</v>
      </c>
      <c r="N133" t="str">
        <f t="shared" si="3"/>
        <v/>
      </c>
      <c r="O133" s="6"/>
      <c r="S133">
        <v>129</v>
      </c>
      <c r="V133" t="str">
        <f>IF(U133&gt;0,SUM($U$5:U133),"")</f>
        <v/>
      </c>
    </row>
    <row r="134" spans="1:22" x14ac:dyDescent="0.4">
      <c r="A134">
        <v>130</v>
      </c>
      <c r="N134" t="str">
        <f t="shared" ref="N134:N197" si="4">IFERROR(IF(L134+M134=0,"",L134+M134),"")</f>
        <v/>
      </c>
      <c r="O134" s="6"/>
      <c r="S134">
        <v>130</v>
      </c>
      <c r="V134" t="str">
        <f>IF(U134&gt;0,SUM($U$5:U134),"")</f>
        <v/>
      </c>
    </row>
    <row r="135" spans="1:22" x14ac:dyDescent="0.4">
      <c r="A135">
        <v>131</v>
      </c>
      <c r="N135" t="str">
        <f t="shared" si="4"/>
        <v/>
      </c>
      <c r="O135" s="6"/>
      <c r="S135">
        <v>131</v>
      </c>
      <c r="V135" t="str">
        <f>IF(U135&gt;0,SUM($U$5:U135),"")</f>
        <v/>
      </c>
    </row>
    <row r="136" spans="1:22" x14ac:dyDescent="0.4">
      <c r="A136">
        <v>132</v>
      </c>
      <c r="N136" t="str">
        <f t="shared" si="4"/>
        <v/>
      </c>
      <c r="O136" s="6"/>
      <c r="S136">
        <v>132</v>
      </c>
      <c r="V136" t="str">
        <f>IF(U136&gt;0,SUM($U$5:U136),"")</f>
        <v/>
      </c>
    </row>
    <row r="137" spans="1:22" x14ac:dyDescent="0.4">
      <c r="A137">
        <v>133</v>
      </c>
      <c r="N137" t="str">
        <f t="shared" si="4"/>
        <v/>
      </c>
      <c r="O137" s="6"/>
      <c r="S137">
        <v>133</v>
      </c>
      <c r="V137" t="str">
        <f>IF(U137&gt;0,SUM($U$5:U137),"")</f>
        <v/>
      </c>
    </row>
    <row r="138" spans="1:22" x14ac:dyDescent="0.4">
      <c r="A138">
        <v>134</v>
      </c>
      <c r="N138" t="str">
        <f t="shared" si="4"/>
        <v/>
      </c>
      <c r="O138" s="6"/>
      <c r="S138">
        <v>134</v>
      </c>
      <c r="V138" t="str">
        <f>IF(U138&gt;0,SUM($U$5:U138),"")</f>
        <v/>
      </c>
    </row>
    <row r="139" spans="1:22" x14ac:dyDescent="0.4">
      <c r="A139">
        <v>135</v>
      </c>
      <c r="N139" t="str">
        <f t="shared" si="4"/>
        <v/>
      </c>
      <c r="O139" s="6"/>
      <c r="S139">
        <v>135</v>
      </c>
      <c r="V139" t="str">
        <f>IF(U139&gt;0,SUM($U$5:U139),"")</f>
        <v/>
      </c>
    </row>
    <row r="140" spans="1:22" x14ac:dyDescent="0.4">
      <c r="A140">
        <v>136</v>
      </c>
      <c r="N140" t="str">
        <f t="shared" si="4"/>
        <v/>
      </c>
      <c r="O140" s="6"/>
      <c r="S140">
        <v>136</v>
      </c>
      <c r="V140" t="str">
        <f>IF(U140&gt;0,SUM($U$5:U140),"")</f>
        <v/>
      </c>
    </row>
    <row r="141" spans="1:22" x14ac:dyDescent="0.4">
      <c r="A141">
        <v>137</v>
      </c>
      <c r="N141" t="str">
        <f t="shared" si="4"/>
        <v/>
      </c>
      <c r="O141" s="6"/>
      <c r="S141">
        <v>137</v>
      </c>
      <c r="V141" t="str">
        <f>IF(U141&gt;0,SUM($U$5:U141),"")</f>
        <v/>
      </c>
    </row>
    <row r="142" spans="1:22" x14ac:dyDescent="0.4">
      <c r="A142">
        <v>138</v>
      </c>
      <c r="N142" t="str">
        <f t="shared" si="4"/>
        <v/>
      </c>
      <c r="O142" s="6"/>
      <c r="S142">
        <v>138</v>
      </c>
      <c r="V142" t="str">
        <f>IF(U142&gt;0,SUM($U$5:U142),"")</f>
        <v/>
      </c>
    </row>
    <row r="143" spans="1:22" x14ac:dyDescent="0.4">
      <c r="A143">
        <v>139</v>
      </c>
      <c r="N143" t="str">
        <f t="shared" si="4"/>
        <v/>
      </c>
      <c r="O143" s="6"/>
      <c r="S143">
        <v>139</v>
      </c>
      <c r="V143" t="str">
        <f>IF(U143&gt;0,SUM($U$5:U143),"")</f>
        <v/>
      </c>
    </row>
    <row r="144" spans="1:22" x14ac:dyDescent="0.4">
      <c r="A144">
        <v>140</v>
      </c>
      <c r="N144" t="str">
        <f t="shared" si="4"/>
        <v/>
      </c>
      <c r="O144" s="6"/>
      <c r="S144">
        <v>140</v>
      </c>
      <c r="V144" t="str">
        <f>IF(U144&gt;0,SUM($U$5:U144),"")</f>
        <v/>
      </c>
    </row>
    <row r="145" spans="1:22" x14ac:dyDescent="0.4">
      <c r="A145">
        <v>141</v>
      </c>
      <c r="N145" t="str">
        <f t="shared" si="4"/>
        <v/>
      </c>
      <c r="O145" s="6"/>
      <c r="S145">
        <v>141</v>
      </c>
      <c r="V145" t="str">
        <f>IF(U145&gt;0,SUM($U$5:U145),"")</f>
        <v/>
      </c>
    </row>
    <row r="146" spans="1:22" x14ac:dyDescent="0.4">
      <c r="A146">
        <v>142</v>
      </c>
      <c r="N146" t="str">
        <f t="shared" si="4"/>
        <v/>
      </c>
      <c r="O146" s="6"/>
      <c r="S146">
        <v>142</v>
      </c>
      <c r="V146" t="str">
        <f>IF(U146&gt;0,SUM($U$5:U146),"")</f>
        <v/>
      </c>
    </row>
    <row r="147" spans="1:22" x14ac:dyDescent="0.4">
      <c r="A147">
        <v>143</v>
      </c>
      <c r="N147" t="str">
        <f t="shared" si="4"/>
        <v/>
      </c>
      <c r="O147" s="6"/>
      <c r="S147">
        <v>143</v>
      </c>
      <c r="V147" t="str">
        <f>IF(U147&gt;0,SUM($U$5:U147),"")</f>
        <v/>
      </c>
    </row>
    <row r="148" spans="1:22" x14ac:dyDescent="0.4">
      <c r="A148">
        <v>144</v>
      </c>
      <c r="N148" t="str">
        <f t="shared" si="4"/>
        <v/>
      </c>
      <c r="O148" s="6"/>
      <c r="S148">
        <v>144</v>
      </c>
      <c r="V148" t="str">
        <f>IF(U148&gt;0,SUM($U$5:U148),"")</f>
        <v/>
      </c>
    </row>
    <row r="149" spans="1:22" x14ac:dyDescent="0.4">
      <c r="A149">
        <v>145</v>
      </c>
      <c r="N149" t="str">
        <f t="shared" si="4"/>
        <v/>
      </c>
      <c r="O149" s="6"/>
      <c r="S149">
        <v>145</v>
      </c>
      <c r="V149" t="str">
        <f>IF(U149&gt;0,SUM($U$5:U149),"")</f>
        <v/>
      </c>
    </row>
    <row r="150" spans="1:22" x14ac:dyDescent="0.4">
      <c r="A150">
        <v>146</v>
      </c>
      <c r="N150" t="str">
        <f t="shared" si="4"/>
        <v/>
      </c>
      <c r="O150" s="6"/>
      <c r="S150">
        <v>146</v>
      </c>
      <c r="V150" t="str">
        <f>IF(U150&gt;0,SUM($U$5:U150),"")</f>
        <v/>
      </c>
    </row>
    <row r="151" spans="1:22" x14ac:dyDescent="0.4">
      <c r="A151">
        <v>147</v>
      </c>
      <c r="N151" t="str">
        <f t="shared" si="4"/>
        <v/>
      </c>
      <c r="O151" s="6"/>
      <c r="S151">
        <v>147</v>
      </c>
      <c r="V151" t="str">
        <f>IF(U151&gt;0,SUM($U$5:U151),"")</f>
        <v/>
      </c>
    </row>
    <row r="152" spans="1:22" x14ac:dyDescent="0.4">
      <c r="A152">
        <v>148</v>
      </c>
      <c r="N152" t="str">
        <f t="shared" si="4"/>
        <v/>
      </c>
      <c r="O152" s="6"/>
      <c r="S152">
        <v>148</v>
      </c>
      <c r="V152" t="str">
        <f>IF(U152&gt;0,SUM($U$5:U152),"")</f>
        <v/>
      </c>
    </row>
    <row r="153" spans="1:22" x14ac:dyDescent="0.4">
      <c r="A153">
        <v>149</v>
      </c>
      <c r="N153" t="str">
        <f t="shared" si="4"/>
        <v/>
      </c>
      <c r="O153" s="6"/>
      <c r="S153">
        <v>149</v>
      </c>
      <c r="V153" t="str">
        <f>IF(U153&gt;0,SUM($U$5:U153),"")</f>
        <v/>
      </c>
    </row>
    <row r="154" spans="1:22" x14ac:dyDescent="0.4">
      <c r="A154">
        <v>150</v>
      </c>
      <c r="N154" t="str">
        <f t="shared" si="4"/>
        <v/>
      </c>
      <c r="O154" s="6"/>
      <c r="S154">
        <v>150</v>
      </c>
      <c r="V154" t="str">
        <f>IF(U154&gt;0,SUM($U$5:U154),"")</f>
        <v/>
      </c>
    </row>
    <row r="155" spans="1:22" x14ac:dyDescent="0.4">
      <c r="A155">
        <v>151</v>
      </c>
      <c r="N155" t="str">
        <f t="shared" si="4"/>
        <v/>
      </c>
      <c r="O155" s="6"/>
      <c r="S155">
        <v>151</v>
      </c>
      <c r="V155" t="str">
        <f>IF(U155&gt;0,SUM($U$5:U155),"")</f>
        <v/>
      </c>
    </row>
    <row r="156" spans="1:22" x14ac:dyDescent="0.4">
      <c r="A156">
        <v>152</v>
      </c>
      <c r="N156" t="str">
        <f t="shared" si="4"/>
        <v/>
      </c>
      <c r="O156" s="6"/>
      <c r="S156">
        <v>152</v>
      </c>
      <c r="V156" t="str">
        <f>IF(U156&gt;0,SUM($U$5:U156),"")</f>
        <v/>
      </c>
    </row>
    <row r="157" spans="1:22" x14ac:dyDescent="0.4">
      <c r="A157">
        <v>153</v>
      </c>
      <c r="N157" t="str">
        <f t="shared" si="4"/>
        <v/>
      </c>
      <c r="O157" s="6"/>
      <c r="S157">
        <v>153</v>
      </c>
      <c r="V157" t="str">
        <f>IF(U157&gt;0,SUM($U$5:U157),"")</f>
        <v/>
      </c>
    </row>
    <row r="158" spans="1:22" x14ac:dyDescent="0.4">
      <c r="A158">
        <v>154</v>
      </c>
      <c r="N158" t="str">
        <f t="shared" si="4"/>
        <v/>
      </c>
      <c r="O158" s="6"/>
      <c r="S158">
        <v>154</v>
      </c>
      <c r="V158" t="str">
        <f>IF(U158&gt;0,SUM($U$5:U158),"")</f>
        <v/>
      </c>
    </row>
    <row r="159" spans="1:22" x14ac:dyDescent="0.4">
      <c r="A159">
        <v>155</v>
      </c>
      <c r="N159" t="str">
        <f t="shared" si="4"/>
        <v/>
      </c>
      <c r="O159" s="6"/>
      <c r="S159">
        <v>155</v>
      </c>
      <c r="V159" t="str">
        <f>IF(U159&gt;0,SUM($U$5:U159),"")</f>
        <v/>
      </c>
    </row>
    <row r="160" spans="1:22" x14ac:dyDescent="0.4">
      <c r="A160">
        <v>156</v>
      </c>
      <c r="N160" t="str">
        <f t="shared" si="4"/>
        <v/>
      </c>
      <c r="O160" s="6"/>
      <c r="S160">
        <v>156</v>
      </c>
      <c r="V160" t="str">
        <f>IF(U160&gt;0,SUM($U$5:U160),"")</f>
        <v/>
      </c>
    </row>
    <row r="161" spans="1:22" x14ac:dyDescent="0.4">
      <c r="A161">
        <v>157</v>
      </c>
      <c r="N161" t="str">
        <f t="shared" si="4"/>
        <v/>
      </c>
      <c r="O161" s="6"/>
      <c r="S161">
        <v>157</v>
      </c>
      <c r="V161" t="str">
        <f>IF(U161&gt;0,SUM($U$5:U161),"")</f>
        <v/>
      </c>
    </row>
    <row r="162" spans="1:22" x14ac:dyDescent="0.4">
      <c r="A162">
        <v>158</v>
      </c>
      <c r="N162" t="str">
        <f t="shared" si="4"/>
        <v/>
      </c>
      <c r="O162" s="6"/>
      <c r="S162">
        <v>158</v>
      </c>
      <c r="V162" t="str">
        <f>IF(U162&gt;0,SUM($U$5:U162),"")</f>
        <v/>
      </c>
    </row>
    <row r="163" spans="1:22" x14ac:dyDescent="0.4">
      <c r="A163">
        <v>159</v>
      </c>
      <c r="N163" t="str">
        <f t="shared" si="4"/>
        <v/>
      </c>
      <c r="O163" s="6"/>
      <c r="S163">
        <v>159</v>
      </c>
      <c r="V163" t="str">
        <f>IF(U163&gt;0,SUM($U$5:U163),"")</f>
        <v/>
      </c>
    </row>
    <row r="164" spans="1:22" x14ac:dyDescent="0.4">
      <c r="A164">
        <v>160</v>
      </c>
      <c r="N164" t="str">
        <f t="shared" si="4"/>
        <v/>
      </c>
      <c r="O164" s="6"/>
      <c r="S164">
        <v>160</v>
      </c>
      <c r="V164" t="str">
        <f>IF(U164&gt;0,SUM($U$5:U164),"")</f>
        <v/>
      </c>
    </row>
    <row r="165" spans="1:22" x14ac:dyDescent="0.4">
      <c r="A165">
        <v>161</v>
      </c>
      <c r="N165" t="str">
        <f t="shared" si="4"/>
        <v/>
      </c>
      <c r="O165" s="6"/>
      <c r="S165">
        <v>161</v>
      </c>
      <c r="V165" t="str">
        <f>IF(U165&gt;0,SUM($U$5:U165),"")</f>
        <v/>
      </c>
    </row>
    <row r="166" spans="1:22" x14ac:dyDescent="0.4">
      <c r="A166">
        <v>162</v>
      </c>
      <c r="N166" t="str">
        <f t="shared" si="4"/>
        <v/>
      </c>
      <c r="O166" s="6"/>
      <c r="S166">
        <v>162</v>
      </c>
      <c r="V166" t="str">
        <f>IF(U166&gt;0,SUM($U$5:U166),"")</f>
        <v/>
      </c>
    </row>
    <row r="167" spans="1:22" x14ac:dyDescent="0.4">
      <c r="A167">
        <v>163</v>
      </c>
      <c r="N167" t="str">
        <f t="shared" si="4"/>
        <v/>
      </c>
      <c r="O167" s="6"/>
      <c r="S167">
        <v>163</v>
      </c>
      <c r="V167" t="str">
        <f>IF(U167&gt;0,SUM($U$5:U167),"")</f>
        <v/>
      </c>
    </row>
    <row r="168" spans="1:22" x14ac:dyDescent="0.4">
      <c r="A168">
        <v>164</v>
      </c>
      <c r="N168" t="str">
        <f t="shared" si="4"/>
        <v/>
      </c>
      <c r="O168" s="6"/>
      <c r="S168">
        <v>164</v>
      </c>
      <c r="V168" t="str">
        <f>IF(U168&gt;0,SUM($U$5:U168),"")</f>
        <v/>
      </c>
    </row>
    <row r="169" spans="1:22" x14ac:dyDescent="0.4">
      <c r="A169">
        <v>165</v>
      </c>
      <c r="N169" t="str">
        <f t="shared" si="4"/>
        <v/>
      </c>
      <c r="O169" s="6"/>
      <c r="S169">
        <v>165</v>
      </c>
      <c r="V169" t="str">
        <f>IF(U169&gt;0,SUM($U$5:U169),"")</f>
        <v/>
      </c>
    </row>
    <row r="170" spans="1:22" x14ac:dyDescent="0.4">
      <c r="A170">
        <v>166</v>
      </c>
      <c r="N170" t="str">
        <f t="shared" si="4"/>
        <v/>
      </c>
      <c r="O170" s="6"/>
      <c r="S170">
        <v>166</v>
      </c>
      <c r="V170" t="str">
        <f>IF(U170&gt;0,SUM($U$5:U170),"")</f>
        <v/>
      </c>
    </row>
    <row r="171" spans="1:22" x14ac:dyDescent="0.4">
      <c r="A171">
        <v>167</v>
      </c>
      <c r="N171" t="str">
        <f t="shared" si="4"/>
        <v/>
      </c>
      <c r="O171" s="6"/>
      <c r="S171">
        <v>167</v>
      </c>
      <c r="V171" t="str">
        <f>IF(U171&gt;0,SUM($U$5:U171),"")</f>
        <v/>
      </c>
    </row>
    <row r="172" spans="1:22" x14ac:dyDescent="0.4">
      <c r="A172">
        <v>168</v>
      </c>
      <c r="N172" t="str">
        <f t="shared" si="4"/>
        <v/>
      </c>
      <c r="O172" s="6"/>
      <c r="S172">
        <v>168</v>
      </c>
      <c r="V172" t="str">
        <f>IF(U172&gt;0,SUM($U$5:U172),"")</f>
        <v/>
      </c>
    </row>
    <row r="173" spans="1:22" x14ac:dyDescent="0.4">
      <c r="A173">
        <v>169</v>
      </c>
      <c r="N173" t="str">
        <f t="shared" si="4"/>
        <v/>
      </c>
      <c r="O173" s="6"/>
      <c r="S173">
        <v>169</v>
      </c>
      <c r="V173" t="str">
        <f>IF(U173&gt;0,SUM($U$5:U173),"")</f>
        <v/>
      </c>
    </row>
    <row r="174" spans="1:22" x14ac:dyDescent="0.4">
      <c r="A174">
        <v>170</v>
      </c>
      <c r="N174" t="str">
        <f t="shared" si="4"/>
        <v/>
      </c>
      <c r="O174" s="6"/>
      <c r="S174">
        <v>170</v>
      </c>
      <c r="V174" t="str">
        <f>IF(U174&gt;0,SUM($U$5:U174),"")</f>
        <v/>
      </c>
    </row>
    <row r="175" spans="1:22" x14ac:dyDescent="0.4">
      <c r="A175">
        <v>171</v>
      </c>
      <c r="N175" t="str">
        <f t="shared" si="4"/>
        <v/>
      </c>
      <c r="O175" s="6"/>
      <c r="S175">
        <v>171</v>
      </c>
      <c r="V175" t="str">
        <f>IF(U175&gt;0,SUM($U$5:U175),"")</f>
        <v/>
      </c>
    </row>
    <row r="176" spans="1:22" x14ac:dyDescent="0.4">
      <c r="A176">
        <v>172</v>
      </c>
      <c r="N176" t="str">
        <f t="shared" si="4"/>
        <v/>
      </c>
      <c r="O176" s="6"/>
      <c r="S176">
        <v>172</v>
      </c>
      <c r="V176" t="str">
        <f>IF(U176&gt;0,SUM($U$5:U176),"")</f>
        <v/>
      </c>
    </row>
    <row r="177" spans="1:22" x14ac:dyDescent="0.4">
      <c r="A177">
        <v>173</v>
      </c>
      <c r="N177" t="str">
        <f t="shared" si="4"/>
        <v/>
      </c>
      <c r="O177" s="6"/>
      <c r="S177">
        <v>173</v>
      </c>
      <c r="V177" t="str">
        <f>IF(U177&gt;0,SUM($U$5:U177),"")</f>
        <v/>
      </c>
    </row>
    <row r="178" spans="1:22" x14ac:dyDescent="0.4">
      <c r="A178">
        <v>174</v>
      </c>
      <c r="N178" t="str">
        <f t="shared" si="4"/>
        <v/>
      </c>
      <c r="O178" s="6"/>
      <c r="S178">
        <v>174</v>
      </c>
      <c r="V178" t="str">
        <f>IF(U178&gt;0,SUM($U$5:U178),"")</f>
        <v/>
      </c>
    </row>
    <row r="179" spans="1:22" x14ac:dyDescent="0.4">
      <c r="A179">
        <v>175</v>
      </c>
      <c r="N179" t="str">
        <f t="shared" si="4"/>
        <v/>
      </c>
      <c r="O179" s="6"/>
      <c r="S179">
        <v>175</v>
      </c>
      <c r="V179" t="str">
        <f>IF(U179&gt;0,SUM($U$5:U179),"")</f>
        <v/>
      </c>
    </row>
    <row r="180" spans="1:22" x14ac:dyDescent="0.4">
      <c r="A180">
        <v>176</v>
      </c>
      <c r="N180" t="str">
        <f t="shared" si="4"/>
        <v/>
      </c>
      <c r="O180" s="6"/>
      <c r="S180">
        <v>176</v>
      </c>
      <c r="V180" t="str">
        <f>IF(U180&gt;0,SUM($U$5:U180),"")</f>
        <v/>
      </c>
    </row>
    <row r="181" spans="1:22" x14ac:dyDescent="0.4">
      <c r="A181">
        <v>177</v>
      </c>
      <c r="N181" t="str">
        <f t="shared" si="4"/>
        <v/>
      </c>
      <c r="O181" s="6"/>
      <c r="S181">
        <v>177</v>
      </c>
      <c r="V181" t="str">
        <f>IF(U181&gt;0,SUM($U$5:U181),"")</f>
        <v/>
      </c>
    </row>
    <row r="182" spans="1:22" x14ac:dyDescent="0.4">
      <c r="A182">
        <v>178</v>
      </c>
      <c r="N182" t="str">
        <f t="shared" si="4"/>
        <v/>
      </c>
      <c r="O182" s="6"/>
      <c r="S182">
        <v>178</v>
      </c>
      <c r="V182" t="str">
        <f>IF(U182&gt;0,SUM($U$5:U182),"")</f>
        <v/>
      </c>
    </row>
    <row r="183" spans="1:22" x14ac:dyDescent="0.4">
      <c r="A183">
        <v>179</v>
      </c>
      <c r="N183" t="str">
        <f t="shared" si="4"/>
        <v/>
      </c>
      <c r="O183" s="6"/>
      <c r="S183">
        <v>179</v>
      </c>
      <c r="V183" t="str">
        <f>IF(U183&gt;0,SUM($U$5:U183),"")</f>
        <v/>
      </c>
    </row>
    <row r="184" spans="1:22" x14ac:dyDescent="0.4">
      <c r="A184">
        <v>180</v>
      </c>
      <c r="N184" t="str">
        <f t="shared" si="4"/>
        <v/>
      </c>
      <c r="O184" s="6"/>
      <c r="S184">
        <v>180</v>
      </c>
      <c r="V184" t="str">
        <f>IF(U184&gt;0,SUM($U$5:U184),"")</f>
        <v/>
      </c>
    </row>
    <row r="185" spans="1:22" x14ac:dyDescent="0.4">
      <c r="A185">
        <v>181</v>
      </c>
      <c r="N185" t="str">
        <f t="shared" si="4"/>
        <v/>
      </c>
      <c r="O185" s="6"/>
      <c r="S185">
        <v>181</v>
      </c>
      <c r="V185" t="str">
        <f>IF(U185&gt;0,SUM($U$5:U185),"")</f>
        <v/>
      </c>
    </row>
    <row r="186" spans="1:22" x14ac:dyDescent="0.4">
      <c r="A186">
        <v>182</v>
      </c>
      <c r="N186" t="str">
        <f t="shared" si="4"/>
        <v/>
      </c>
      <c r="O186" s="6"/>
      <c r="S186">
        <v>182</v>
      </c>
      <c r="V186" t="str">
        <f>IF(U186&gt;0,SUM($U$5:U186),"")</f>
        <v/>
      </c>
    </row>
    <row r="187" spans="1:22" x14ac:dyDescent="0.4">
      <c r="A187">
        <v>183</v>
      </c>
      <c r="N187" t="str">
        <f t="shared" si="4"/>
        <v/>
      </c>
      <c r="O187" s="6"/>
      <c r="S187">
        <v>183</v>
      </c>
      <c r="V187" t="str">
        <f>IF(U187&gt;0,SUM($U$5:U187),"")</f>
        <v/>
      </c>
    </row>
    <row r="188" spans="1:22" x14ac:dyDescent="0.4">
      <c r="A188">
        <v>184</v>
      </c>
      <c r="N188" t="str">
        <f t="shared" si="4"/>
        <v/>
      </c>
      <c r="O188" s="6"/>
      <c r="S188">
        <v>184</v>
      </c>
      <c r="V188" t="str">
        <f>IF(U188&gt;0,SUM($U$5:U188),"")</f>
        <v/>
      </c>
    </row>
    <row r="189" spans="1:22" x14ac:dyDescent="0.4">
      <c r="A189">
        <v>185</v>
      </c>
      <c r="N189" t="str">
        <f t="shared" si="4"/>
        <v/>
      </c>
      <c r="O189" s="6"/>
      <c r="S189">
        <v>185</v>
      </c>
      <c r="V189" t="str">
        <f>IF(U189&gt;0,SUM($U$5:U189),"")</f>
        <v/>
      </c>
    </row>
    <row r="190" spans="1:22" x14ac:dyDescent="0.4">
      <c r="A190">
        <v>186</v>
      </c>
      <c r="N190" t="str">
        <f t="shared" si="4"/>
        <v/>
      </c>
      <c r="O190" s="6"/>
      <c r="S190">
        <v>186</v>
      </c>
      <c r="V190" t="str">
        <f>IF(U190&gt;0,SUM($U$5:U190),"")</f>
        <v/>
      </c>
    </row>
    <row r="191" spans="1:22" x14ac:dyDescent="0.4">
      <c r="A191">
        <v>187</v>
      </c>
      <c r="N191" t="str">
        <f t="shared" si="4"/>
        <v/>
      </c>
      <c r="O191" s="6"/>
      <c r="S191">
        <v>187</v>
      </c>
      <c r="V191" t="str">
        <f>IF(U191&gt;0,SUM($U$5:U191),"")</f>
        <v/>
      </c>
    </row>
    <row r="192" spans="1:22" x14ac:dyDescent="0.4">
      <c r="A192">
        <v>188</v>
      </c>
      <c r="N192" t="str">
        <f t="shared" si="4"/>
        <v/>
      </c>
      <c r="O192" s="6"/>
      <c r="S192">
        <v>188</v>
      </c>
      <c r="V192" t="str">
        <f>IF(U192&gt;0,SUM($U$5:U192),"")</f>
        <v/>
      </c>
    </row>
    <row r="193" spans="1:22" x14ac:dyDescent="0.4">
      <c r="A193">
        <v>189</v>
      </c>
      <c r="N193" t="str">
        <f t="shared" si="4"/>
        <v/>
      </c>
      <c r="O193" s="6"/>
      <c r="S193">
        <v>189</v>
      </c>
      <c r="V193" t="str">
        <f>IF(U193&gt;0,SUM($U$5:U193),"")</f>
        <v/>
      </c>
    </row>
    <row r="194" spans="1:22" x14ac:dyDescent="0.4">
      <c r="A194">
        <v>190</v>
      </c>
      <c r="N194" t="str">
        <f t="shared" si="4"/>
        <v/>
      </c>
      <c r="O194" s="6"/>
      <c r="S194">
        <v>190</v>
      </c>
      <c r="V194" t="str">
        <f>IF(U194&gt;0,SUM($U$5:U194),"")</f>
        <v/>
      </c>
    </row>
    <row r="195" spans="1:22" x14ac:dyDescent="0.4">
      <c r="A195">
        <v>191</v>
      </c>
      <c r="N195" t="str">
        <f t="shared" si="4"/>
        <v/>
      </c>
      <c r="O195" s="6"/>
      <c r="S195">
        <v>191</v>
      </c>
      <c r="V195" t="str">
        <f>IF(U195&gt;0,SUM($U$5:U195),"")</f>
        <v/>
      </c>
    </row>
    <row r="196" spans="1:22" x14ac:dyDescent="0.4">
      <c r="A196">
        <v>192</v>
      </c>
      <c r="N196" t="str">
        <f t="shared" si="4"/>
        <v/>
      </c>
      <c r="O196" s="6"/>
      <c r="S196">
        <v>192</v>
      </c>
      <c r="V196" t="str">
        <f>IF(U196&gt;0,SUM($U$5:U196),"")</f>
        <v/>
      </c>
    </row>
    <row r="197" spans="1:22" x14ac:dyDescent="0.4">
      <c r="A197">
        <v>193</v>
      </c>
      <c r="N197" t="str">
        <f t="shared" si="4"/>
        <v/>
      </c>
      <c r="O197" s="6"/>
      <c r="S197">
        <v>193</v>
      </c>
      <c r="V197" t="str">
        <f>IF(U197&gt;0,SUM($U$5:U197),"")</f>
        <v/>
      </c>
    </row>
    <row r="198" spans="1:22" x14ac:dyDescent="0.4">
      <c r="A198">
        <v>194</v>
      </c>
      <c r="N198" t="str">
        <f t="shared" ref="N198:N254" si="5">IFERROR(IF(L198+M198=0,"",L198+M198),"")</f>
        <v/>
      </c>
      <c r="O198" s="6"/>
      <c r="S198">
        <v>194</v>
      </c>
      <c r="V198" t="str">
        <f>IF(U198&gt;0,SUM($U$5:U198),"")</f>
        <v/>
      </c>
    </row>
    <row r="199" spans="1:22" x14ac:dyDescent="0.4">
      <c r="A199">
        <v>195</v>
      </c>
      <c r="N199" t="str">
        <f t="shared" si="5"/>
        <v/>
      </c>
      <c r="O199" s="6"/>
      <c r="S199">
        <v>195</v>
      </c>
      <c r="V199" t="str">
        <f>IF(U199&gt;0,SUM($U$5:U199),"")</f>
        <v/>
      </c>
    </row>
    <row r="200" spans="1:22" x14ac:dyDescent="0.4">
      <c r="A200">
        <v>196</v>
      </c>
      <c r="N200" t="str">
        <f t="shared" si="5"/>
        <v/>
      </c>
      <c r="O200" s="6"/>
      <c r="S200">
        <v>196</v>
      </c>
      <c r="V200" t="str">
        <f>IF(U200&gt;0,SUM($U$5:U200),"")</f>
        <v/>
      </c>
    </row>
    <row r="201" spans="1:22" x14ac:dyDescent="0.4">
      <c r="A201">
        <v>197</v>
      </c>
      <c r="N201" t="str">
        <f t="shared" si="5"/>
        <v/>
      </c>
      <c r="O201" s="6"/>
      <c r="S201">
        <v>197</v>
      </c>
      <c r="V201" t="str">
        <f>IF(U201&gt;0,SUM($U$5:U201),"")</f>
        <v/>
      </c>
    </row>
    <row r="202" spans="1:22" x14ac:dyDescent="0.4">
      <c r="A202">
        <v>198</v>
      </c>
      <c r="N202" t="str">
        <f t="shared" si="5"/>
        <v/>
      </c>
      <c r="O202" s="6"/>
      <c r="S202">
        <v>198</v>
      </c>
      <c r="V202" t="str">
        <f>IF(U202&gt;0,SUM($U$5:U202),"")</f>
        <v/>
      </c>
    </row>
    <row r="203" spans="1:22" x14ac:dyDescent="0.4">
      <c r="A203">
        <v>199</v>
      </c>
      <c r="N203" t="str">
        <f t="shared" si="5"/>
        <v/>
      </c>
      <c r="O203" s="6"/>
      <c r="S203">
        <v>199</v>
      </c>
      <c r="V203" t="str">
        <f>IF(U203&gt;0,SUM($U$5:U203),"")</f>
        <v/>
      </c>
    </row>
    <row r="204" spans="1:22" x14ac:dyDescent="0.4">
      <c r="A204">
        <v>200</v>
      </c>
      <c r="N204" t="str">
        <f t="shared" si="5"/>
        <v/>
      </c>
      <c r="O204" s="6"/>
      <c r="S204">
        <v>200</v>
      </c>
      <c r="V204" t="str">
        <f>IF(U204&gt;0,SUM($U$5:U204),"")</f>
        <v/>
      </c>
    </row>
    <row r="205" spans="1:22" x14ac:dyDescent="0.4">
      <c r="A205">
        <v>201</v>
      </c>
      <c r="N205" t="str">
        <f t="shared" si="5"/>
        <v/>
      </c>
      <c r="O205" s="6"/>
      <c r="S205">
        <v>201</v>
      </c>
      <c r="V205" t="str">
        <f>IF(U205&gt;0,SUM($U$5:U205),"")</f>
        <v/>
      </c>
    </row>
    <row r="206" spans="1:22" x14ac:dyDescent="0.4">
      <c r="A206">
        <v>202</v>
      </c>
      <c r="N206" t="str">
        <f t="shared" si="5"/>
        <v/>
      </c>
      <c r="O206" s="6"/>
      <c r="S206">
        <v>202</v>
      </c>
      <c r="V206" t="str">
        <f>IF(U206&gt;0,SUM($U$5:U206),"")</f>
        <v/>
      </c>
    </row>
    <row r="207" spans="1:22" x14ac:dyDescent="0.4">
      <c r="A207">
        <v>203</v>
      </c>
      <c r="N207" t="str">
        <f t="shared" si="5"/>
        <v/>
      </c>
      <c r="O207" s="6"/>
      <c r="S207">
        <v>203</v>
      </c>
      <c r="V207" t="str">
        <f>IF(U207&gt;0,SUM($U$5:U207),"")</f>
        <v/>
      </c>
    </row>
    <row r="208" spans="1:22" x14ac:dyDescent="0.4">
      <c r="A208">
        <v>204</v>
      </c>
      <c r="N208" t="str">
        <f t="shared" si="5"/>
        <v/>
      </c>
      <c r="O208" s="6"/>
      <c r="S208">
        <v>204</v>
      </c>
      <c r="V208" t="str">
        <f>IF(U208&gt;0,SUM($U$5:U208),"")</f>
        <v/>
      </c>
    </row>
    <row r="209" spans="1:22" x14ac:dyDescent="0.4">
      <c r="A209">
        <v>205</v>
      </c>
      <c r="N209" t="str">
        <f t="shared" si="5"/>
        <v/>
      </c>
      <c r="O209" s="6"/>
      <c r="S209">
        <v>205</v>
      </c>
      <c r="V209" t="str">
        <f>IF(U209&gt;0,SUM($U$5:U209),"")</f>
        <v/>
      </c>
    </row>
    <row r="210" spans="1:22" x14ac:dyDescent="0.4">
      <c r="A210">
        <v>206</v>
      </c>
      <c r="N210" t="str">
        <f t="shared" si="5"/>
        <v/>
      </c>
      <c r="O210" s="6"/>
      <c r="S210">
        <v>206</v>
      </c>
      <c r="V210" t="str">
        <f>IF(U210&gt;0,SUM($U$5:U210),"")</f>
        <v/>
      </c>
    </row>
    <row r="211" spans="1:22" x14ac:dyDescent="0.4">
      <c r="A211">
        <v>207</v>
      </c>
      <c r="N211" t="str">
        <f t="shared" si="5"/>
        <v/>
      </c>
      <c r="O211" s="6"/>
      <c r="S211">
        <v>207</v>
      </c>
      <c r="V211" t="str">
        <f>IF(U211&gt;0,SUM($U$5:U211),"")</f>
        <v/>
      </c>
    </row>
    <row r="212" spans="1:22" x14ac:dyDescent="0.4">
      <c r="A212">
        <v>208</v>
      </c>
      <c r="N212" t="str">
        <f t="shared" si="5"/>
        <v/>
      </c>
      <c r="O212" s="6"/>
      <c r="S212">
        <v>208</v>
      </c>
      <c r="V212" t="str">
        <f>IF(U212&gt;0,SUM($U$5:U212),"")</f>
        <v/>
      </c>
    </row>
    <row r="213" spans="1:22" x14ac:dyDescent="0.4">
      <c r="A213">
        <v>209</v>
      </c>
      <c r="N213" t="str">
        <f t="shared" si="5"/>
        <v/>
      </c>
      <c r="O213" s="6"/>
      <c r="S213">
        <v>209</v>
      </c>
      <c r="V213" t="str">
        <f>IF(U213&gt;0,SUM($U$5:U213),"")</f>
        <v/>
      </c>
    </row>
    <row r="214" spans="1:22" x14ac:dyDescent="0.4">
      <c r="A214">
        <v>210</v>
      </c>
      <c r="N214" t="str">
        <f t="shared" si="5"/>
        <v/>
      </c>
      <c r="O214" s="6"/>
      <c r="S214">
        <v>210</v>
      </c>
      <c r="V214" t="str">
        <f>IF(U214&gt;0,SUM($U$5:U214),"")</f>
        <v/>
      </c>
    </row>
    <row r="215" spans="1:22" x14ac:dyDescent="0.4">
      <c r="A215">
        <v>211</v>
      </c>
      <c r="N215" t="str">
        <f t="shared" si="5"/>
        <v/>
      </c>
      <c r="O215" s="6"/>
      <c r="S215">
        <v>211</v>
      </c>
      <c r="V215" t="str">
        <f>IF(U215&gt;0,SUM($U$5:U215),"")</f>
        <v/>
      </c>
    </row>
    <row r="216" spans="1:22" x14ac:dyDescent="0.4">
      <c r="A216">
        <v>212</v>
      </c>
      <c r="N216" t="str">
        <f t="shared" si="5"/>
        <v/>
      </c>
      <c r="O216" s="6"/>
      <c r="S216">
        <v>212</v>
      </c>
      <c r="V216" t="str">
        <f>IF(U216&gt;0,SUM($U$5:U216),"")</f>
        <v/>
      </c>
    </row>
    <row r="217" spans="1:22" x14ac:dyDescent="0.4">
      <c r="A217">
        <v>213</v>
      </c>
      <c r="N217" t="str">
        <f t="shared" si="5"/>
        <v/>
      </c>
      <c r="O217" s="6"/>
      <c r="S217">
        <v>213</v>
      </c>
      <c r="V217" t="str">
        <f>IF(U217&gt;0,SUM($U$5:U217),"")</f>
        <v/>
      </c>
    </row>
    <row r="218" spans="1:22" x14ac:dyDescent="0.4">
      <c r="A218">
        <v>214</v>
      </c>
      <c r="N218" t="str">
        <f t="shared" si="5"/>
        <v/>
      </c>
      <c r="O218" s="6"/>
      <c r="S218">
        <v>214</v>
      </c>
      <c r="V218" t="str">
        <f>IF(U218&gt;0,SUM($U$5:U218),"")</f>
        <v/>
      </c>
    </row>
    <row r="219" spans="1:22" x14ac:dyDescent="0.4">
      <c r="A219">
        <v>215</v>
      </c>
      <c r="N219" t="str">
        <f t="shared" si="5"/>
        <v/>
      </c>
      <c r="O219" s="6"/>
      <c r="S219">
        <v>215</v>
      </c>
      <c r="V219" t="str">
        <f>IF(U219&gt;0,SUM($U$5:U219),"")</f>
        <v/>
      </c>
    </row>
    <row r="220" spans="1:22" x14ac:dyDescent="0.4">
      <c r="A220">
        <v>216</v>
      </c>
      <c r="N220" t="str">
        <f t="shared" si="5"/>
        <v/>
      </c>
      <c r="O220" s="6"/>
      <c r="S220">
        <v>216</v>
      </c>
      <c r="V220" t="str">
        <f>IF(U220&gt;0,SUM($U$5:U220),"")</f>
        <v/>
      </c>
    </row>
    <row r="221" spans="1:22" x14ac:dyDescent="0.4">
      <c r="A221">
        <v>217</v>
      </c>
      <c r="N221" t="str">
        <f t="shared" si="5"/>
        <v/>
      </c>
      <c r="O221" s="6"/>
      <c r="S221">
        <v>217</v>
      </c>
      <c r="V221" t="str">
        <f>IF(U221&gt;0,SUM($U$5:U221),"")</f>
        <v/>
      </c>
    </row>
    <row r="222" spans="1:22" x14ac:dyDescent="0.4">
      <c r="A222">
        <v>218</v>
      </c>
      <c r="N222" t="str">
        <f t="shared" si="5"/>
        <v/>
      </c>
      <c r="O222" s="6"/>
      <c r="S222">
        <v>218</v>
      </c>
      <c r="V222" t="str">
        <f>IF(U222&gt;0,SUM($U$5:U222),"")</f>
        <v/>
      </c>
    </row>
    <row r="223" spans="1:22" x14ac:dyDescent="0.4">
      <c r="A223">
        <v>219</v>
      </c>
      <c r="N223" t="str">
        <f t="shared" si="5"/>
        <v/>
      </c>
      <c r="O223" s="6"/>
      <c r="S223">
        <v>219</v>
      </c>
      <c r="V223" t="str">
        <f>IF(U223&gt;0,SUM($U$5:U223),"")</f>
        <v/>
      </c>
    </row>
    <row r="224" spans="1:22" x14ac:dyDescent="0.4">
      <c r="A224">
        <v>220</v>
      </c>
      <c r="N224" t="str">
        <f t="shared" si="5"/>
        <v/>
      </c>
      <c r="O224" s="6"/>
      <c r="S224">
        <v>220</v>
      </c>
      <c r="V224" t="str">
        <f>IF(U224&gt;0,SUM($U$5:U224),"")</f>
        <v/>
      </c>
    </row>
    <row r="225" spans="1:22" x14ac:dyDescent="0.4">
      <c r="A225">
        <v>221</v>
      </c>
      <c r="N225" t="str">
        <f t="shared" si="5"/>
        <v/>
      </c>
      <c r="O225" s="6"/>
      <c r="S225">
        <v>221</v>
      </c>
      <c r="V225" t="str">
        <f>IF(U225&gt;0,SUM($U$5:U225),"")</f>
        <v/>
      </c>
    </row>
    <row r="226" spans="1:22" x14ac:dyDescent="0.4">
      <c r="A226">
        <v>222</v>
      </c>
      <c r="N226" t="str">
        <f t="shared" si="5"/>
        <v/>
      </c>
      <c r="O226" s="6"/>
      <c r="S226">
        <v>222</v>
      </c>
      <c r="V226" t="str">
        <f>IF(U226&gt;0,SUM($U$5:U226),"")</f>
        <v/>
      </c>
    </row>
    <row r="227" spans="1:22" x14ac:dyDescent="0.4">
      <c r="A227">
        <v>223</v>
      </c>
      <c r="N227" t="str">
        <f t="shared" si="5"/>
        <v/>
      </c>
      <c r="O227" s="6"/>
      <c r="S227">
        <v>223</v>
      </c>
      <c r="V227" t="str">
        <f>IF(U227&gt;0,SUM($U$5:U227),"")</f>
        <v/>
      </c>
    </row>
    <row r="228" spans="1:22" x14ac:dyDescent="0.4">
      <c r="A228">
        <v>224</v>
      </c>
      <c r="N228" t="str">
        <f t="shared" si="5"/>
        <v/>
      </c>
      <c r="O228" s="6"/>
      <c r="S228">
        <v>224</v>
      </c>
      <c r="V228" t="str">
        <f>IF(U228&gt;0,SUM($U$5:U228),"")</f>
        <v/>
      </c>
    </row>
    <row r="229" spans="1:22" x14ac:dyDescent="0.4">
      <c r="A229">
        <v>225</v>
      </c>
      <c r="N229" t="str">
        <f t="shared" si="5"/>
        <v/>
      </c>
      <c r="O229" s="6"/>
      <c r="S229">
        <v>225</v>
      </c>
      <c r="V229" t="str">
        <f>IF(U229&gt;0,SUM($U$5:U229),"")</f>
        <v/>
      </c>
    </row>
    <row r="230" spans="1:22" x14ac:dyDescent="0.4">
      <c r="A230">
        <v>226</v>
      </c>
      <c r="N230" t="str">
        <f t="shared" si="5"/>
        <v/>
      </c>
      <c r="O230" s="6"/>
      <c r="S230">
        <v>226</v>
      </c>
      <c r="V230" t="str">
        <f>IF(U230&gt;0,SUM($U$5:U230),"")</f>
        <v/>
      </c>
    </row>
    <row r="231" spans="1:22" x14ac:dyDescent="0.4">
      <c r="A231">
        <v>227</v>
      </c>
      <c r="N231" t="str">
        <f t="shared" si="5"/>
        <v/>
      </c>
      <c r="O231" s="6"/>
      <c r="S231">
        <v>227</v>
      </c>
      <c r="V231" t="str">
        <f>IF(U231&gt;0,SUM($U$5:U231),"")</f>
        <v/>
      </c>
    </row>
    <row r="232" spans="1:22" x14ac:dyDescent="0.4">
      <c r="A232">
        <v>228</v>
      </c>
      <c r="N232" t="str">
        <f t="shared" si="5"/>
        <v/>
      </c>
      <c r="O232" s="6"/>
      <c r="S232">
        <v>228</v>
      </c>
      <c r="V232" t="str">
        <f>IF(U232&gt;0,SUM($U$5:U232),"")</f>
        <v/>
      </c>
    </row>
    <row r="233" spans="1:22" x14ac:dyDescent="0.4">
      <c r="A233">
        <v>229</v>
      </c>
      <c r="N233" t="str">
        <f t="shared" si="5"/>
        <v/>
      </c>
      <c r="O233" s="6"/>
      <c r="S233">
        <v>229</v>
      </c>
      <c r="V233" t="str">
        <f>IF(U233&gt;0,SUM($U$5:U233),"")</f>
        <v/>
      </c>
    </row>
    <row r="234" spans="1:22" x14ac:dyDescent="0.4">
      <c r="A234">
        <v>230</v>
      </c>
      <c r="N234" t="str">
        <f t="shared" si="5"/>
        <v/>
      </c>
      <c r="O234" s="6"/>
      <c r="S234">
        <v>230</v>
      </c>
      <c r="V234" t="str">
        <f>IF(U234&gt;0,SUM($U$5:U234),"")</f>
        <v/>
      </c>
    </row>
    <row r="235" spans="1:22" x14ac:dyDescent="0.4">
      <c r="A235">
        <v>231</v>
      </c>
      <c r="N235" t="str">
        <f t="shared" si="5"/>
        <v/>
      </c>
      <c r="O235" s="6"/>
      <c r="S235">
        <v>231</v>
      </c>
      <c r="V235" t="str">
        <f>IF(U235&gt;0,SUM($U$5:U235),"")</f>
        <v/>
      </c>
    </row>
    <row r="236" spans="1:22" x14ac:dyDescent="0.4">
      <c r="A236">
        <v>232</v>
      </c>
      <c r="N236" t="str">
        <f t="shared" si="5"/>
        <v/>
      </c>
      <c r="O236" s="6"/>
      <c r="S236">
        <v>232</v>
      </c>
      <c r="V236" t="str">
        <f>IF(U236&gt;0,SUM($U$5:U236),"")</f>
        <v/>
      </c>
    </row>
    <row r="237" spans="1:22" x14ac:dyDescent="0.4">
      <c r="A237">
        <v>233</v>
      </c>
      <c r="N237" t="str">
        <f t="shared" si="5"/>
        <v/>
      </c>
      <c r="O237" s="6"/>
      <c r="S237">
        <v>233</v>
      </c>
      <c r="V237" t="str">
        <f>IF(U237&gt;0,SUM($U$5:U237),"")</f>
        <v/>
      </c>
    </row>
    <row r="238" spans="1:22" x14ac:dyDescent="0.4">
      <c r="A238">
        <v>234</v>
      </c>
      <c r="N238" t="str">
        <f t="shared" si="5"/>
        <v/>
      </c>
      <c r="O238" s="6"/>
      <c r="S238">
        <v>234</v>
      </c>
      <c r="V238" t="str">
        <f>IF(U238&gt;0,SUM($U$5:U238),"")</f>
        <v/>
      </c>
    </row>
    <row r="239" spans="1:22" x14ac:dyDescent="0.4">
      <c r="A239">
        <v>235</v>
      </c>
      <c r="N239" t="str">
        <f t="shared" si="5"/>
        <v/>
      </c>
      <c r="O239" s="6"/>
      <c r="S239">
        <v>235</v>
      </c>
      <c r="V239" t="str">
        <f>IF(U239&gt;0,SUM($U$5:U239),"")</f>
        <v/>
      </c>
    </row>
    <row r="240" spans="1:22" x14ac:dyDescent="0.4">
      <c r="A240">
        <v>236</v>
      </c>
      <c r="N240" t="str">
        <f t="shared" si="5"/>
        <v/>
      </c>
      <c r="O240" s="6"/>
      <c r="S240">
        <v>236</v>
      </c>
      <c r="V240" t="str">
        <f>IF(U240&gt;0,SUM($U$5:U240),"")</f>
        <v/>
      </c>
    </row>
    <row r="241" spans="1:22" x14ac:dyDescent="0.4">
      <c r="A241">
        <v>237</v>
      </c>
      <c r="N241" t="str">
        <f t="shared" si="5"/>
        <v/>
      </c>
      <c r="O241" s="6"/>
      <c r="S241">
        <v>237</v>
      </c>
      <c r="V241" t="str">
        <f>IF(U241&gt;0,SUM($U$5:U241),"")</f>
        <v/>
      </c>
    </row>
    <row r="242" spans="1:22" x14ac:dyDescent="0.4">
      <c r="A242">
        <v>238</v>
      </c>
      <c r="N242" t="str">
        <f t="shared" si="5"/>
        <v/>
      </c>
      <c r="O242" s="6"/>
      <c r="S242">
        <v>238</v>
      </c>
      <c r="V242" t="str">
        <f>IF(U242&gt;0,SUM($U$5:U242),"")</f>
        <v/>
      </c>
    </row>
    <row r="243" spans="1:22" x14ac:dyDescent="0.4">
      <c r="A243">
        <v>239</v>
      </c>
      <c r="N243" t="str">
        <f t="shared" si="5"/>
        <v/>
      </c>
      <c r="O243" s="6"/>
      <c r="S243">
        <v>239</v>
      </c>
      <c r="V243" t="str">
        <f>IF(U243&gt;0,SUM($U$5:U243),"")</f>
        <v/>
      </c>
    </row>
    <row r="244" spans="1:22" x14ac:dyDescent="0.4">
      <c r="A244">
        <v>240</v>
      </c>
      <c r="N244" t="str">
        <f t="shared" si="5"/>
        <v/>
      </c>
      <c r="O244" s="6"/>
      <c r="S244">
        <v>240</v>
      </c>
      <c r="V244" t="str">
        <f>IF(U244&gt;0,SUM($U$5:U244),"")</f>
        <v/>
      </c>
    </row>
    <row r="245" spans="1:22" x14ac:dyDescent="0.4">
      <c r="A245">
        <v>241</v>
      </c>
      <c r="N245" t="str">
        <f t="shared" si="5"/>
        <v/>
      </c>
      <c r="O245" s="6"/>
      <c r="S245">
        <v>241</v>
      </c>
      <c r="V245" t="str">
        <f>IF(U245&gt;0,SUM($U$5:U245),"")</f>
        <v/>
      </c>
    </row>
    <row r="246" spans="1:22" x14ac:dyDescent="0.4">
      <c r="A246">
        <v>242</v>
      </c>
      <c r="N246" t="str">
        <f t="shared" si="5"/>
        <v/>
      </c>
      <c r="O246" s="6"/>
      <c r="S246">
        <v>242</v>
      </c>
      <c r="V246" t="str">
        <f>IF(U246&gt;0,SUM($U$5:U246),"")</f>
        <v/>
      </c>
    </row>
    <row r="247" spans="1:22" x14ac:dyDescent="0.4">
      <c r="A247">
        <v>243</v>
      </c>
      <c r="N247" t="str">
        <f t="shared" si="5"/>
        <v/>
      </c>
      <c r="O247" s="6"/>
      <c r="S247">
        <v>243</v>
      </c>
      <c r="V247" t="str">
        <f>IF(U247&gt;0,SUM($U$5:U247),"")</f>
        <v/>
      </c>
    </row>
    <row r="248" spans="1:22" x14ac:dyDescent="0.4">
      <c r="A248">
        <v>244</v>
      </c>
      <c r="N248" t="str">
        <f t="shared" si="5"/>
        <v/>
      </c>
      <c r="O248" s="6"/>
      <c r="S248">
        <v>244</v>
      </c>
      <c r="V248" t="str">
        <f>IF(U248&gt;0,SUM($U$5:U248),"")</f>
        <v/>
      </c>
    </row>
    <row r="249" spans="1:22" x14ac:dyDescent="0.4">
      <c r="A249">
        <v>245</v>
      </c>
      <c r="N249" t="str">
        <f t="shared" si="5"/>
        <v/>
      </c>
      <c r="O249" s="6"/>
      <c r="S249">
        <v>245</v>
      </c>
      <c r="V249" t="str">
        <f>IF(U249&gt;0,SUM($U$5:U249),"")</f>
        <v/>
      </c>
    </row>
    <row r="250" spans="1:22" x14ac:dyDescent="0.4">
      <c r="A250">
        <v>246</v>
      </c>
      <c r="N250" t="str">
        <f t="shared" si="5"/>
        <v/>
      </c>
      <c r="O250" s="6"/>
      <c r="S250">
        <v>246</v>
      </c>
      <c r="V250" t="str">
        <f>IF(U250&gt;0,SUM($U$5:U250),"")</f>
        <v/>
      </c>
    </row>
    <row r="251" spans="1:22" x14ac:dyDescent="0.4">
      <c r="A251">
        <v>247</v>
      </c>
      <c r="N251" t="str">
        <f t="shared" si="5"/>
        <v/>
      </c>
      <c r="O251" s="6"/>
      <c r="S251">
        <v>247</v>
      </c>
      <c r="V251" t="str">
        <f>IF(U251&gt;0,SUM($U$5:U251),"")</f>
        <v/>
      </c>
    </row>
    <row r="252" spans="1:22" x14ac:dyDescent="0.4">
      <c r="A252">
        <v>248</v>
      </c>
      <c r="N252" t="str">
        <f t="shared" si="5"/>
        <v/>
      </c>
      <c r="O252" s="6"/>
      <c r="S252">
        <v>248</v>
      </c>
      <c r="V252" t="str">
        <f>IF(U252&gt;0,SUM($U$5:U252),"")</f>
        <v/>
      </c>
    </row>
    <row r="253" spans="1:22" x14ac:dyDescent="0.4">
      <c r="A253">
        <v>249</v>
      </c>
      <c r="N253" t="str">
        <f t="shared" si="5"/>
        <v/>
      </c>
      <c r="O253" s="6"/>
      <c r="S253">
        <v>249</v>
      </c>
      <c r="V253" t="str">
        <f>IF(U253&gt;0,SUM($U$5:U253),"")</f>
        <v/>
      </c>
    </row>
    <row r="254" spans="1:22" x14ac:dyDescent="0.4">
      <c r="A254">
        <v>250</v>
      </c>
      <c r="N254" t="str">
        <f t="shared" si="5"/>
        <v/>
      </c>
      <c r="O254" s="6"/>
      <c r="S254">
        <v>250</v>
      </c>
      <c r="V254" t="str">
        <f>IF(U254&gt;0,SUM($U$5:U254),"")</f>
        <v/>
      </c>
    </row>
    <row r="255" spans="1:22" x14ac:dyDescent="0.4">
      <c r="A255" t="s">
        <v>0</v>
      </c>
      <c r="B255" t="s">
        <v>0</v>
      </c>
      <c r="C255" t="s">
        <v>0</v>
      </c>
      <c r="D255" t="s">
        <v>0</v>
      </c>
      <c r="E255" t="s">
        <v>0</v>
      </c>
      <c r="F255" t="s">
        <v>0</v>
      </c>
      <c r="G255" t="s">
        <v>0</v>
      </c>
      <c r="H255" t="s">
        <v>0</v>
      </c>
      <c r="I255" t="s">
        <v>0</v>
      </c>
      <c r="J255" t="s">
        <v>0</v>
      </c>
      <c r="K255" t="s">
        <v>0</v>
      </c>
      <c r="L255" t="s">
        <v>0</v>
      </c>
      <c r="M255" t="s">
        <v>0</v>
      </c>
      <c r="O255" s="6"/>
    </row>
    <row r="256" spans="1:22" x14ac:dyDescent="0.4">
      <c r="O256" s="6"/>
    </row>
    <row r="257" spans="15:15" x14ac:dyDescent="0.4">
      <c r="O257" s="6"/>
    </row>
    <row r="258" spans="15:15" x14ac:dyDescent="0.4">
      <c r="O258" s="6"/>
    </row>
    <row r="259" spans="15:15" x14ac:dyDescent="0.4">
      <c r="O259" s="6"/>
    </row>
    <row r="260" spans="15:15" x14ac:dyDescent="0.4">
      <c r="O260" s="6"/>
    </row>
    <row r="261" spans="15:15" x14ac:dyDescent="0.4">
      <c r="O261" s="6"/>
    </row>
    <row r="262" spans="15:15" x14ac:dyDescent="0.4">
      <c r="O262" s="6"/>
    </row>
    <row r="263" spans="15:15" x14ac:dyDescent="0.4">
      <c r="O263" s="6"/>
    </row>
    <row r="264" spans="15:15" x14ac:dyDescent="0.4">
      <c r="O264" s="6"/>
    </row>
    <row r="265" spans="15:15" x14ac:dyDescent="0.4">
      <c r="O265" s="6"/>
    </row>
    <row r="266" spans="15:15" x14ac:dyDescent="0.4">
      <c r="O266" s="6"/>
    </row>
    <row r="267" spans="15:15" x14ac:dyDescent="0.4">
      <c r="O267" s="6"/>
    </row>
    <row r="268" spans="15:15" x14ac:dyDescent="0.4">
      <c r="O268" s="6"/>
    </row>
    <row r="269" spans="15:15" x14ac:dyDescent="0.4">
      <c r="O269" s="6"/>
    </row>
    <row r="270" spans="15:15" x14ac:dyDescent="0.4">
      <c r="O270" s="6"/>
    </row>
    <row r="271" spans="15:15" x14ac:dyDescent="0.4">
      <c r="O271" s="6"/>
    </row>
    <row r="272" spans="15:15" x14ac:dyDescent="0.4">
      <c r="O272" s="6"/>
    </row>
    <row r="273" spans="15:15" x14ac:dyDescent="0.4">
      <c r="O273" s="6"/>
    </row>
    <row r="274" spans="15:15" x14ac:dyDescent="0.4">
      <c r="O274" s="6"/>
    </row>
    <row r="275" spans="15:15" x14ac:dyDescent="0.4">
      <c r="O275" s="6"/>
    </row>
    <row r="276" spans="15:15" x14ac:dyDescent="0.4">
      <c r="O276" s="6"/>
    </row>
    <row r="277" spans="15:15" x14ac:dyDescent="0.4">
      <c r="O277" s="6"/>
    </row>
    <row r="278" spans="15:15" x14ac:dyDescent="0.4">
      <c r="O278" s="6"/>
    </row>
    <row r="279" spans="15:15" x14ac:dyDescent="0.4">
      <c r="O279" s="6"/>
    </row>
    <row r="280" spans="15:15" x14ac:dyDescent="0.4">
      <c r="O280" s="6"/>
    </row>
    <row r="281" spans="15:15" x14ac:dyDescent="0.4">
      <c r="O281" s="6"/>
    </row>
    <row r="282" spans="15:15" x14ac:dyDescent="0.4">
      <c r="O282" s="6"/>
    </row>
    <row r="283" spans="15:15" x14ac:dyDescent="0.4">
      <c r="O283" s="6"/>
    </row>
    <row r="284" spans="15:15" x14ac:dyDescent="0.4">
      <c r="O284" s="6"/>
    </row>
    <row r="285" spans="15:15" x14ac:dyDescent="0.4">
      <c r="O285" s="6"/>
    </row>
    <row r="286" spans="15:15" x14ac:dyDescent="0.4">
      <c r="O286" s="6"/>
    </row>
    <row r="287" spans="15:15" x14ac:dyDescent="0.4">
      <c r="O287" s="6"/>
    </row>
    <row r="288" spans="15:15" x14ac:dyDescent="0.4">
      <c r="O288" s="6"/>
    </row>
    <row r="289" spans="15:15" x14ac:dyDescent="0.4">
      <c r="O289" s="6"/>
    </row>
    <row r="290" spans="15:15" x14ac:dyDescent="0.4">
      <c r="O290" s="6"/>
    </row>
    <row r="291" spans="15:15" x14ac:dyDescent="0.4">
      <c r="O291" s="6"/>
    </row>
    <row r="292" spans="15:15" x14ac:dyDescent="0.4">
      <c r="O292" s="6"/>
    </row>
    <row r="293" spans="15:15" x14ac:dyDescent="0.4">
      <c r="O293" s="6"/>
    </row>
    <row r="294" spans="15:15" x14ac:dyDescent="0.4">
      <c r="O294" s="6"/>
    </row>
    <row r="295" spans="15:15" x14ac:dyDescent="0.4">
      <c r="O295" s="6"/>
    </row>
    <row r="296" spans="15:15" x14ac:dyDescent="0.4">
      <c r="O296" s="6"/>
    </row>
    <row r="297" spans="15:15" x14ac:dyDescent="0.4">
      <c r="O297" s="6"/>
    </row>
    <row r="298" spans="15:15" x14ac:dyDescent="0.4">
      <c r="O298" s="6"/>
    </row>
    <row r="299" spans="15:15" x14ac:dyDescent="0.4">
      <c r="O299" s="6"/>
    </row>
    <row r="300" spans="15:15" x14ac:dyDescent="0.4">
      <c r="O300" s="6"/>
    </row>
    <row r="301" spans="15:15" x14ac:dyDescent="0.4">
      <c r="O301" s="6"/>
    </row>
    <row r="302" spans="15:15" x14ac:dyDescent="0.4">
      <c r="O302" s="6"/>
    </row>
    <row r="303" spans="15:15" x14ac:dyDescent="0.4">
      <c r="O303" s="6"/>
    </row>
    <row r="304" spans="15:15" x14ac:dyDescent="0.4">
      <c r="O304" s="6"/>
    </row>
    <row r="305" spans="15:15" x14ac:dyDescent="0.4">
      <c r="O305" s="6"/>
    </row>
    <row r="306" spans="15:15" x14ac:dyDescent="0.4">
      <c r="O306" s="6"/>
    </row>
    <row r="307" spans="15:15" x14ac:dyDescent="0.4">
      <c r="O307" s="6"/>
    </row>
    <row r="308" spans="15:15" x14ac:dyDescent="0.4">
      <c r="O308" s="6"/>
    </row>
    <row r="309" spans="15:15" x14ac:dyDescent="0.4">
      <c r="O309" s="6"/>
    </row>
    <row r="310" spans="15:15" x14ac:dyDescent="0.4">
      <c r="O310" s="6"/>
    </row>
    <row r="311" spans="15:15" x14ac:dyDescent="0.4">
      <c r="O311" s="6"/>
    </row>
    <row r="312" spans="15:15" x14ac:dyDescent="0.4">
      <c r="O312" s="6"/>
    </row>
    <row r="313" spans="15:15" x14ac:dyDescent="0.4">
      <c r="O313" s="6"/>
    </row>
    <row r="314" spans="15:15" x14ac:dyDescent="0.4">
      <c r="O314" s="6"/>
    </row>
    <row r="315" spans="15:15" x14ac:dyDescent="0.4">
      <c r="O315" s="6"/>
    </row>
    <row r="316" spans="15:15" x14ac:dyDescent="0.4">
      <c r="O316" s="6"/>
    </row>
    <row r="317" spans="15:15" x14ac:dyDescent="0.4">
      <c r="O317" s="6"/>
    </row>
    <row r="318" spans="15:15" x14ac:dyDescent="0.4">
      <c r="O318" s="6"/>
    </row>
    <row r="319" spans="15:15" x14ac:dyDescent="0.4">
      <c r="O319" s="6"/>
    </row>
    <row r="320" spans="15:15" x14ac:dyDescent="0.4">
      <c r="O320" s="6"/>
    </row>
    <row r="321" spans="15:15" x14ac:dyDescent="0.4">
      <c r="O321" s="6"/>
    </row>
    <row r="322" spans="15:15" x14ac:dyDescent="0.4">
      <c r="O322" s="6"/>
    </row>
    <row r="323" spans="15:15" x14ac:dyDescent="0.4">
      <c r="O323" s="6"/>
    </row>
    <row r="324" spans="15:15" x14ac:dyDescent="0.4">
      <c r="O324" s="6"/>
    </row>
    <row r="325" spans="15:15" x14ac:dyDescent="0.4">
      <c r="O325" s="6"/>
    </row>
    <row r="326" spans="15:15" x14ac:dyDescent="0.4">
      <c r="O326" s="6"/>
    </row>
    <row r="327" spans="15:15" x14ac:dyDescent="0.4">
      <c r="O327" s="6"/>
    </row>
    <row r="328" spans="15:15" x14ac:dyDescent="0.4">
      <c r="O328" s="6"/>
    </row>
    <row r="329" spans="15:15" x14ac:dyDescent="0.4">
      <c r="O329" s="6"/>
    </row>
    <row r="330" spans="15:15" x14ac:dyDescent="0.4">
      <c r="O330" s="6"/>
    </row>
    <row r="331" spans="15:15" x14ac:dyDescent="0.4">
      <c r="O331" s="6"/>
    </row>
    <row r="332" spans="15:15" x14ac:dyDescent="0.4">
      <c r="O332" s="6"/>
    </row>
    <row r="333" spans="15:15" x14ac:dyDescent="0.4">
      <c r="O333" s="6"/>
    </row>
    <row r="334" spans="15:15" x14ac:dyDescent="0.4">
      <c r="O334" s="6"/>
    </row>
    <row r="335" spans="15:15" x14ac:dyDescent="0.4">
      <c r="O335" s="6"/>
    </row>
    <row r="336" spans="15:15" x14ac:dyDescent="0.4">
      <c r="O336" s="6"/>
    </row>
    <row r="337" spans="15:15" x14ac:dyDescent="0.4">
      <c r="O337" s="6"/>
    </row>
    <row r="338" spans="15:15" x14ac:dyDescent="0.4">
      <c r="O338" s="6"/>
    </row>
    <row r="339" spans="15:15" x14ac:dyDescent="0.4">
      <c r="O339" s="6"/>
    </row>
    <row r="340" spans="15:15" x14ac:dyDescent="0.4">
      <c r="O340" s="6"/>
    </row>
    <row r="341" spans="15:15" x14ac:dyDescent="0.4">
      <c r="O341" s="6"/>
    </row>
    <row r="342" spans="15:15" x14ac:dyDescent="0.4">
      <c r="O342" s="6"/>
    </row>
    <row r="343" spans="15:15" x14ac:dyDescent="0.4">
      <c r="O343" s="6"/>
    </row>
    <row r="344" spans="15:15" x14ac:dyDescent="0.4">
      <c r="O344" s="6"/>
    </row>
    <row r="345" spans="15:15" x14ac:dyDescent="0.4">
      <c r="O345" s="6"/>
    </row>
    <row r="346" spans="15:15" x14ac:dyDescent="0.4">
      <c r="O346" s="6"/>
    </row>
    <row r="347" spans="15:15" x14ac:dyDescent="0.4">
      <c r="O347" s="6"/>
    </row>
    <row r="348" spans="15:15" x14ac:dyDescent="0.4">
      <c r="O348" s="6"/>
    </row>
    <row r="349" spans="15:15" x14ac:dyDescent="0.4">
      <c r="O349" s="6"/>
    </row>
    <row r="350" spans="15:15" x14ac:dyDescent="0.4">
      <c r="O350" s="6"/>
    </row>
    <row r="351" spans="15:15" x14ac:dyDescent="0.4">
      <c r="O351" s="6"/>
    </row>
    <row r="352" spans="15:15" x14ac:dyDescent="0.4">
      <c r="O352" s="6"/>
    </row>
    <row r="353" spans="15:15" x14ac:dyDescent="0.4">
      <c r="O353" s="6"/>
    </row>
    <row r="354" spans="15:15" x14ac:dyDescent="0.4">
      <c r="O354" s="6"/>
    </row>
    <row r="355" spans="15:15" x14ac:dyDescent="0.4">
      <c r="O355" s="6"/>
    </row>
    <row r="356" spans="15:15" x14ac:dyDescent="0.4">
      <c r="O356" s="6"/>
    </row>
    <row r="357" spans="15:15" x14ac:dyDescent="0.4">
      <c r="O357" s="6"/>
    </row>
    <row r="358" spans="15:15" x14ac:dyDescent="0.4">
      <c r="O358" s="6"/>
    </row>
    <row r="359" spans="15:15" x14ac:dyDescent="0.4">
      <c r="O359" s="6"/>
    </row>
    <row r="360" spans="15:15" x14ac:dyDescent="0.4">
      <c r="O360" s="6"/>
    </row>
    <row r="361" spans="15:15" x14ac:dyDescent="0.4">
      <c r="O361" s="6"/>
    </row>
    <row r="362" spans="15:15" x14ac:dyDescent="0.4">
      <c r="O362" s="6"/>
    </row>
    <row r="363" spans="15:15" x14ac:dyDescent="0.4">
      <c r="O363" s="6"/>
    </row>
    <row r="364" spans="15:15" x14ac:dyDescent="0.4">
      <c r="O364" s="6"/>
    </row>
    <row r="365" spans="15:15" x14ac:dyDescent="0.4">
      <c r="O365" s="6"/>
    </row>
    <row r="366" spans="15:15" x14ac:dyDescent="0.4">
      <c r="O366" s="6"/>
    </row>
    <row r="367" spans="15:15" x14ac:dyDescent="0.4">
      <c r="O367" s="6"/>
    </row>
    <row r="368" spans="15:15" x14ac:dyDescent="0.4">
      <c r="O368" s="6"/>
    </row>
    <row r="369" spans="15:15" x14ac:dyDescent="0.4">
      <c r="O369" s="6"/>
    </row>
    <row r="370" spans="15:15" x14ac:dyDescent="0.4">
      <c r="O370" s="6"/>
    </row>
    <row r="371" spans="15:15" x14ac:dyDescent="0.4">
      <c r="O371" s="6"/>
    </row>
    <row r="372" spans="15:15" x14ac:dyDescent="0.4">
      <c r="O372" s="6"/>
    </row>
    <row r="373" spans="15:15" x14ac:dyDescent="0.4">
      <c r="O373" s="6"/>
    </row>
    <row r="374" spans="15:15" x14ac:dyDescent="0.4">
      <c r="O374" s="6"/>
    </row>
    <row r="375" spans="15:15" x14ac:dyDescent="0.4">
      <c r="O375" s="6"/>
    </row>
    <row r="376" spans="15:15" x14ac:dyDescent="0.4">
      <c r="O376" s="6"/>
    </row>
    <row r="377" spans="15:15" x14ac:dyDescent="0.4">
      <c r="O377" s="6"/>
    </row>
    <row r="378" spans="15:15" x14ac:dyDescent="0.4">
      <c r="O378" s="6"/>
    </row>
    <row r="379" spans="15:15" x14ac:dyDescent="0.4">
      <c r="O379" s="6"/>
    </row>
    <row r="380" spans="15:15" x14ac:dyDescent="0.4">
      <c r="O380" s="6"/>
    </row>
    <row r="381" spans="15:15" x14ac:dyDescent="0.4">
      <c r="O381" s="6"/>
    </row>
    <row r="382" spans="15:15" x14ac:dyDescent="0.4">
      <c r="O382" s="6"/>
    </row>
    <row r="383" spans="15:15" x14ac:dyDescent="0.4">
      <c r="O383" s="6"/>
    </row>
    <row r="384" spans="15:15" x14ac:dyDescent="0.4">
      <c r="O384" s="6"/>
    </row>
    <row r="385" spans="15:15" x14ac:dyDescent="0.4">
      <c r="O385" s="6"/>
    </row>
    <row r="386" spans="15:15" x14ac:dyDescent="0.4">
      <c r="O386" s="6"/>
    </row>
    <row r="387" spans="15:15" x14ac:dyDescent="0.4">
      <c r="O387" s="6"/>
    </row>
    <row r="388" spans="15:15" x14ac:dyDescent="0.4">
      <c r="O388" s="6"/>
    </row>
    <row r="389" spans="15:15" x14ac:dyDescent="0.4">
      <c r="O389" s="6"/>
    </row>
    <row r="390" spans="15:15" x14ac:dyDescent="0.4">
      <c r="O390" s="6"/>
    </row>
    <row r="391" spans="15:15" x14ac:dyDescent="0.4">
      <c r="O391" s="6"/>
    </row>
    <row r="392" spans="15:15" x14ac:dyDescent="0.4">
      <c r="O392" s="6"/>
    </row>
    <row r="393" spans="15:15" x14ac:dyDescent="0.4">
      <c r="O393" s="6"/>
    </row>
    <row r="394" spans="15:15" x14ac:dyDescent="0.4">
      <c r="O394" s="6"/>
    </row>
    <row r="395" spans="15:15" x14ac:dyDescent="0.4">
      <c r="O395" s="6"/>
    </row>
    <row r="396" spans="15:15" x14ac:dyDescent="0.4">
      <c r="O396" s="6"/>
    </row>
    <row r="397" spans="15:15" x14ac:dyDescent="0.4">
      <c r="O397" s="6"/>
    </row>
    <row r="398" spans="15:15" x14ac:dyDescent="0.4">
      <c r="O398" s="6"/>
    </row>
    <row r="399" spans="15:15" x14ac:dyDescent="0.4">
      <c r="O399" s="6"/>
    </row>
    <row r="400" spans="15:15" x14ac:dyDescent="0.4">
      <c r="O400" s="6"/>
    </row>
    <row r="401" spans="15:15" x14ac:dyDescent="0.4">
      <c r="O401" s="6"/>
    </row>
    <row r="402" spans="15:15" x14ac:dyDescent="0.4">
      <c r="O402" s="6"/>
    </row>
    <row r="403" spans="15:15" x14ac:dyDescent="0.4">
      <c r="O403" s="6"/>
    </row>
    <row r="404" spans="15:15" x14ac:dyDescent="0.4">
      <c r="O404" s="6"/>
    </row>
    <row r="405" spans="15:15" x14ac:dyDescent="0.4">
      <c r="O405" s="6"/>
    </row>
    <row r="406" spans="15:15" x14ac:dyDescent="0.4">
      <c r="O406" s="6"/>
    </row>
    <row r="407" spans="15:15" x14ac:dyDescent="0.4">
      <c r="O407" s="6"/>
    </row>
    <row r="408" spans="15:15" x14ac:dyDescent="0.4">
      <c r="O408" s="6"/>
    </row>
    <row r="409" spans="15:15" x14ac:dyDescent="0.4">
      <c r="O409" s="6"/>
    </row>
    <row r="410" spans="15:15" x14ac:dyDescent="0.4">
      <c r="O410" s="6"/>
    </row>
    <row r="411" spans="15:15" x14ac:dyDescent="0.4">
      <c r="O411" s="6"/>
    </row>
    <row r="412" spans="15:15" x14ac:dyDescent="0.4">
      <c r="O412" s="6"/>
    </row>
    <row r="413" spans="15:15" x14ac:dyDescent="0.4">
      <c r="O413" s="6"/>
    </row>
    <row r="414" spans="15:15" x14ac:dyDescent="0.4">
      <c r="O414" s="6"/>
    </row>
    <row r="415" spans="15:15" x14ac:dyDescent="0.4">
      <c r="O415" s="6"/>
    </row>
    <row r="416" spans="15:15" x14ac:dyDescent="0.4">
      <c r="O416" s="6"/>
    </row>
    <row r="417" spans="15:15" x14ac:dyDescent="0.4">
      <c r="O417" s="6"/>
    </row>
    <row r="418" spans="15:15" x14ac:dyDescent="0.4">
      <c r="O418" s="6"/>
    </row>
    <row r="419" spans="15:15" x14ac:dyDescent="0.4">
      <c r="O419" s="6"/>
    </row>
    <row r="420" spans="15:15" x14ac:dyDescent="0.4">
      <c r="O420" s="6"/>
    </row>
    <row r="421" spans="15:15" x14ac:dyDescent="0.4">
      <c r="O421" s="6"/>
    </row>
    <row r="422" spans="15:15" x14ac:dyDescent="0.4">
      <c r="O422" s="6"/>
    </row>
    <row r="423" spans="15:15" x14ac:dyDescent="0.4">
      <c r="O423" s="6"/>
    </row>
    <row r="424" spans="15:15" x14ac:dyDescent="0.4">
      <c r="O424" s="6"/>
    </row>
    <row r="425" spans="15:15" x14ac:dyDescent="0.4">
      <c r="O425" s="6"/>
    </row>
    <row r="426" spans="15:15" x14ac:dyDescent="0.4">
      <c r="O426" s="6"/>
    </row>
    <row r="427" spans="15:15" x14ac:dyDescent="0.4">
      <c r="O427" s="6"/>
    </row>
    <row r="428" spans="15:15" x14ac:dyDescent="0.4">
      <c r="O428" s="6"/>
    </row>
    <row r="429" spans="15:15" x14ac:dyDescent="0.4">
      <c r="O429" s="6"/>
    </row>
    <row r="430" spans="15:15" x14ac:dyDescent="0.4">
      <c r="O430" s="6"/>
    </row>
    <row r="431" spans="15:15" x14ac:dyDescent="0.4">
      <c r="O431" s="6"/>
    </row>
    <row r="432" spans="15:15" x14ac:dyDescent="0.4">
      <c r="O432" s="6"/>
    </row>
    <row r="433" spans="15:15" x14ac:dyDescent="0.4">
      <c r="O433" s="6"/>
    </row>
    <row r="434" spans="15:15" x14ac:dyDescent="0.4">
      <c r="O434" s="6"/>
    </row>
    <row r="435" spans="15:15" x14ac:dyDescent="0.4">
      <c r="O435" s="6"/>
    </row>
    <row r="436" spans="15:15" x14ac:dyDescent="0.4">
      <c r="O436" s="6"/>
    </row>
    <row r="437" spans="15:15" x14ac:dyDescent="0.4">
      <c r="O437" s="6"/>
    </row>
    <row r="438" spans="15:15" x14ac:dyDescent="0.4">
      <c r="O438" s="6"/>
    </row>
    <row r="439" spans="15:15" x14ac:dyDescent="0.4">
      <c r="O439" s="6"/>
    </row>
    <row r="440" spans="15:15" x14ac:dyDescent="0.4">
      <c r="O440" s="6"/>
    </row>
    <row r="441" spans="15:15" x14ac:dyDescent="0.4">
      <c r="O441" s="6"/>
    </row>
    <row r="442" spans="15:15" x14ac:dyDescent="0.4">
      <c r="O442" s="6"/>
    </row>
    <row r="443" spans="15:15" x14ac:dyDescent="0.4">
      <c r="O443" s="6"/>
    </row>
    <row r="444" spans="15:15" x14ac:dyDescent="0.4">
      <c r="O444" s="6"/>
    </row>
    <row r="445" spans="15:15" x14ac:dyDescent="0.4">
      <c r="O445" s="6"/>
    </row>
    <row r="446" spans="15:15" x14ac:dyDescent="0.4">
      <c r="O446" s="6"/>
    </row>
    <row r="447" spans="15:15" x14ac:dyDescent="0.4">
      <c r="O447" s="6"/>
    </row>
    <row r="448" spans="15:15" x14ac:dyDescent="0.4">
      <c r="O448" s="6"/>
    </row>
    <row r="449" spans="15:15" x14ac:dyDescent="0.4">
      <c r="O449" s="6"/>
    </row>
    <row r="450" spans="15:15" x14ac:dyDescent="0.4">
      <c r="O450" s="6"/>
    </row>
    <row r="451" spans="15:15" x14ac:dyDescent="0.4">
      <c r="O451" s="6"/>
    </row>
    <row r="452" spans="15:15" x14ac:dyDescent="0.4">
      <c r="O452" s="6"/>
    </row>
    <row r="453" spans="15:15" x14ac:dyDescent="0.4">
      <c r="O453" s="6"/>
    </row>
    <row r="454" spans="15:15" x14ac:dyDescent="0.4">
      <c r="O454" s="6"/>
    </row>
    <row r="455" spans="15:15" x14ac:dyDescent="0.4">
      <c r="O455" s="6"/>
    </row>
    <row r="456" spans="15:15" x14ac:dyDescent="0.4">
      <c r="O456" s="6"/>
    </row>
    <row r="457" spans="15:15" x14ac:dyDescent="0.4">
      <c r="O457" s="6"/>
    </row>
    <row r="458" spans="15:15" x14ac:dyDescent="0.4">
      <c r="O458" s="6"/>
    </row>
    <row r="459" spans="15:15" x14ac:dyDescent="0.4">
      <c r="O459" s="6"/>
    </row>
    <row r="460" spans="15:15" x14ac:dyDescent="0.4">
      <c r="O460" s="6"/>
    </row>
    <row r="461" spans="15:15" x14ac:dyDescent="0.4">
      <c r="O461" s="6"/>
    </row>
    <row r="462" spans="15:15" x14ac:dyDescent="0.4">
      <c r="O462" s="6"/>
    </row>
    <row r="463" spans="15:15" x14ac:dyDescent="0.4">
      <c r="O463" s="6"/>
    </row>
    <row r="464" spans="15:15" x14ac:dyDescent="0.4">
      <c r="O464" s="6"/>
    </row>
    <row r="465" spans="15:15" x14ac:dyDescent="0.4">
      <c r="O465" s="6"/>
    </row>
    <row r="466" spans="15:15" x14ac:dyDescent="0.4">
      <c r="O466" s="6"/>
    </row>
    <row r="467" spans="15:15" x14ac:dyDescent="0.4">
      <c r="O467" s="6"/>
    </row>
    <row r="468" spans="15:15" x14ac:dyDescent="0.4">
      <c r="O468" s="6"/>
    </row>
    <row r="469" spans="15:15" x14ac:dyDescent="0.4">
      <c r="O469" s="6"/>
    </row>
    <row r="470" spans="15:15" x14ac:dyDescent="0.4">
      <c r="O470" s="6"/>
    </row>
    <row r="471" spans="15:15" x14ac:dyDescent="0.4">
      <c r="O471" s="6"/>
    </row>
    <row r="472" spans="15:15" x14ac:dyDescent="0.4">
      <c r="O472" s="6"/>
    </row>
    <row r="473" spans="15:15" x14ac:dyDescent="0.4">
      <c r="O473" s="6"/>
    </row>
    <row r="474" spans="15:15" x14ac:dyDescent="0.4">
      <c r="O474" s="6"/>
    </row>
    <row r="475" spans="15:15" x14ac:dyDescent="0.4">
      <c r="O475" s="6"/>
    </row>
    <row r="476" spans="15:15" x14ac:dyDescent="0.4">
      <c r="O476" s="6"/>
    </row>
    <row r="477" spans="15:15" x14ac:dyDescent="0.4">
      <c r="O477" s="6"/>
    </row>
    <row r="478" spans="15:15" x14ac:dyDescent="0.4">
      <c r="O478" s="6"/>
    </row>
    <row r="479" spans="15:15" x14ac:dyDescent="0.4">
      <c r="O479" s="6"/>
    </row>
    <row r="480" spans="15:15" x14ac:dyDescent="0.4">
      <c r="O480" s="6"/>
    </row>
    <row r="481" spans="15:15" x14ac:dyDescent="0.4">
      <c r="O481" s="6"/>
    </row>
    <row r="482" spans="15:15" x14ac:dyDescent="0.4">
      <c r="O482" s="6"/>
    </row>
    <row r="483" spans="15:15" x14ac:dyDescent="0.4">
      <c r="O483" s="6"/>
    </row>
    <row r="484" spans="15:15" x14ac:dyDescent="0.4">
      <c r="O484" s="6"/>
    </row>
    <row r="485" spans="15:15" x14ac:dyDescent="0.4">
      <c r="O485" s="6"/>
    </row>
    <row r="486" spans="15:15" x14ac:dyDescent="0.4">
      <c r="O486" s="6"/>
    </row>
    <row r="487" spans="15:15" x14ac:dyDescent="0.4">
      <c r="O487" s="6"/>
    </row>
    <row r="488" spans="15:15" x14ac:dyDescent="0.4">
      <c r="O488" s="6"/>
    </row>
    <row r="489" spans="15:15" x14ac:dyDescent="0.4">
      <c r="O489" s="6"/>
    </row>
    <row r="490" spans="15:15" x14ac:dyDescent="0.4">
      <c r="O490" s="6"/>
    </row>
    <row r="491" spans="15:15" x14ac:dyDescent="0.4">
      <c r="O491" s="6"/>
    </row>
    <row r="492" spans="15:15" x14ac:dyDescent="0.4">
      <c r="O492" s="6"/>
    </row>
    <row r="493" spans="15:15" x14ac:dyDescent="0.4">
      <c r="O493" s="6"/>
    </row>
    <row r="494" spans="15:15" x14ac:dyDescent="0.4">
      <c r="O494" s="6"/>
    </row>
    <row r="495" spans="15:15" x14ac:dyDescent="0.4">
      <c r="O495" s="6"/>
    </row>
    <row r="496" spans="15:15" x14ac:dyDescent="0.4">
      <c r="O496" s="6"/>
    </row>
    <row r="497" spans="15:15" x14ac:dyDescent="0.4">
      <c r="O497" s="6"/>
    </row>
    <row r="498" spans="15:15" x14ac:dyDescent="0.4">
      <c r="O498" s="6"/>
    </row>
    <row r="499" spans="15:15" x14ac:dyDescent="0.4">
      <c r="O499" s="6"/>
    </row>
    <row r="500" spans="15:15" x14ac:dyDescent="0.4">
      <c r="O500" s="6"/>
    </row>
    <row r="501" spans="15:15" x14ac:dyDescent="0.4">
      <c r="O501" s="6"/>
    </row>
    <row r="502" spans="15:15" x14ac:dyDescent="0.4">
      <c r="O502" s="6"/>
    </row>
    <row r="503" spans="15:15" x14ac:dyDescent="0.4">
      <c r="O503" s="6"/>
    </row>
    <row r="504" spans="15:15" x14ac:dyDescent="0.4">
      <c r="O504" s="6"/>
    </row>
    <row r="505" spans="15:15" x14ac:dyDescent="0.4">
      <c r="O505" s="6"/>
    </row>
    <row r="506" spans="15:15" x14ac:dyDescent="0.4">
      <c r="O506" s="6"/>
    </row>
    <row r="507" spans="15:15" x14ac:dyDescent="0.4">
      <c r="O507" s="6"/>
    </row>
    <row r="508" spans="15:15" x14ac:dyDescent="0.4">
      <c r="O508" s="6"/>
    </row>
    <row r="509" spans="15:15" x14ac:dyDescent="0.4">
      <c r="O509" s="6"/>
    </row>
    <row r="510" spans="15:15" x14ac:dyDescent="0.4">
      <c r="O510" s="6"/>
    </row>
    <row r="511" spans="15:15" x14ac:dyDescent="0.4">
      <c r="O511" s="6"/>
    </row>
    <row r="512" spans="15:15" x14ac:dyDescent="0.4">
      <c r="O512" s="6"/>
    </row>
    <row r="513" spans="15:15" x14ac:dyDescent="0.4">
      <c r="O513" s="6"/>
    </row>
    <row r="514" spans="15:15" x14ac:dyDescent="0.4">
      <c r="O514" s="6"/>
    </row>
    <row r="515" spans="15:15" x14ac:dyDescent="0.4">
      <c r="O515" s="6"/>
    </row>
    <row r="516" spans="15:15" x14ac:dyDescent="0.4">
      <c r="O516" s="6"/>
    </row>
    <row r="517" spans="15:15" x14ac:dyDescent="0.4">
      <c r="O517" s="6"/>
    </row>
    <row r="518" spans="15:15" x14ac:dyDescent="0.4">
      <c r="O518" s="6"/>
    </row>
    <row r="519" spans="15:15" x14ac:dyDescent="0.4">
      <c r="O519" s="6"/>
    </row>
    <row r="520" spans="15:15" x14ac:dyDescent="0.4">
      <c r="O520" s="6"/>
    </row>
    <row r="521" spans="15:15" x14ac:dyDescent="0.4">
      <c r="O521" s="6"/>
    </row>
    <row r="522" spans="15:15" x14ac:dyDescent="0.4">
      <c r="O522" s="6"/>
    </row>
    <row r="523" spans="15:15" x14ac:dyDescent="0.4">
      <c r="O523" s="6"/>
    </row>
    <row r="524" spans="15:15" x14ac:dyDescent="0.4">
      <c r="O524" s="6"/>
    </row>
    <row r="525" spans="15:15" x14ac:dyDescent="0.4">
      <c r="O525" s="6"/>
    </row>
    <row r="526" spans="15:15" x14ac:dyDescent="0.4">
      <c r="O526" s="6"/>
    </row>
    <row r="527" spans="15:15" x14ac:dyDescent="0.4">
      <c r="O527" s="6"/>
    </row>
    <row r="528" spans="15:15" x14ac:dyDescent="0.4">
      <c r="O528" s="6"/>
    </row>
    <row r="529" spans="15:15" x14ac:dyDescent="0.4">
      <c r="O529" s="6"/>
    </row>
    <row r="530" spans="15:15" x14ac:dyDescent="0.4">
      <c r="O530" s="6"/>
    </row>
    <row r="531" spans="15:15" x14ac:dyDescent="0.4">
      <c r="O531" s="6"/>
    </row>
    <row r="532" spans="15:15" x14ac:dyDescent="0.4">
      <c r="O532" s="6"/>
    </row>
    <row r="533" spans="15:15" x14ac:dyDescent="0.4">
      <c r="O533" s="6"/>
    </row>
    <row r="534" spans="15:15" x14ac:dyDescent="0.4">
      <c r="O534" s="6"/>
    </row>
    <row r="535" spans="15:15" x14ac:dyDescent="0.4">
      <c r="O535" s="6"/>
    </row>
    <row r="536" spans="15:15" x14ac:dyDescent="0.4">
      <c r="O536" s="6"/>
    </row>
    <row r="537" spans="15:15" x14ac:dyDescent="0.4">
      <c r="O537" s="6"/>
    </row>
    <row r="538" spans="15:15" x14ac:dyDescent="0.4">
      <c r="O538" s="6"/>
    </row>
    <row r="539" spans="15:15" x14ac:dyDescent="0.4">
      <c r="O539" s="6"/>
    </row>
    <row r="540" spans="15:15" x14ac:dyDescent="0.4">
      <c r="O540" s="6"/>
    </row>
    <row r="541" spans="15:15" x14ac:dyDescent="0.4">
      <c r="O541" s="6"/>
    </row>
    <row r="542" spans="15:15" x14ac:dyDescent="0.4">
      <c r="O542" s="6"/>
    </row>
    <row r="543" spans="15:15" x14ac:dyDescent="0.4">
      <c r="O543" s="6"/>
    </row>
    <row r="544" spans="15:15" x14ac:dyDescent="0.4">
      <c r="O544" s="6"/>
    </row>
    <row r="545" spans="15:15" x14ac:dyDescent="0.4">
      <c r="O545" s="6"/>
    </row>
    <row r="546" spans="15:15" x14ac:dyDescent="0.4">
      <c r="O546" s="6"/>
    </row>
    <row r="547" spans="15:15" x14ac:dyDescent="0.4">
      <c r="O547" s="6"/>
    </row>
    <row r="548" spans="15:15" x14ac:dyDescent="0.4">
      <c r="O548" s="6"/>
    </row>
    <row r="549" spans="15:15" x14ac:dyDescent="0.4">
      <c r="O549" s="6"/>
    </row>
    <row r="550" spans="15:15" x14ac:dyDescent="0.4">
      <c r="O550" s="6"/>
    </row>
    <row r="551" spans="15:15" x14ac:dyDescent="0.4">
      <c r="O551" s="6"/>
    </row>
    <row r="552" spans="15:15" x14ac:dyDescent="0.4">
      <c r="O552" s="6"/>
    </row>
    <row r="553" spans="15:15" x14ac:dyDescent="0.4">
      <c r="O553" s="6"/>
    </row>
    <row r="554" spans="15:15" x14ac:dyDescent="0.4">
      <c r="O554" s="6"/>
    </row>
    <row r="555" spans="15:15" x14ac:dyDescent="0.4">
      <c r="O555" s="6"/>
    </row>
    <row r="556" spans="15:15" x14ac:dyDescent="0.4">
      <c r="O556" s="6"/>
    </row>
    <row r="557" spans="15:15" x14ac:dyDescent="0.4">
      <c r="O557" s="6"/>
    </row>
    <row r="558" spans="15:15" x14ac:dyDescent="0.4">
      <c r="O558" s="6"/>
    </row>
    <row r="559" spans="15:15" x14ac:dyDescent="0.4">
      <c r="O559" s="6"/>
    </row>
    <row r="560" spans="15:15" x14ac:dyDescent="0.4">
      <c r="O560" s="6"/>
    </row>
    <row r="561" spans="15:15" x14ac:dyDescent="0.4">
      <c r="O561" s="6"/>
    </row>
    <row r="562" spans="15:15" x14ac:dyDescent="0.4">
      <c r="O562" s="6"/>
    </row>
    <row r="563" spans="15:15" x14ac:dyDescent="0.4">
      <c r="O563" s="6"/>
    </row>
    <row r="564" spans="15:15" x14ac:dyDescent="0.4">
      <c r="O564" s="6"/>
    </row>
    <row r="565" spans="15:15" x14ac:dyDescent="0.4">
      <c r="O565" s="6"/>
    </row>
    <row r="566" spans="15:15" x14ac:dyDescent="0.4">
      <c r="O566" s="6"/>
    </row>
    <row r="567" spans="15:15" x14ac:dyDescent="0.4">
      <c r="O567" s="6"/>
    </row>
    <row r="568" spans="15:15" x14ac:dyDescent="0.4">
      <c r="O568" s="6"/>
    </row>
    <row r="569" spans="15:15" x14ac:dyDescent="0.4">
      <c r="O569" s="6"/>
    </row>
    <row r="570" spans="15:15" x14ac:dyDescent="0.4">
      <c r="O570" s="6"/>
    </row>
    <row r="571" spans="15:15" x14ac:dyDescent="0.4">
      <c r="O571" s="6"/>
    </row>
    <row r="572" spans="15:15" x14ac:dyDescent="0.4">
      <c r="O572" s="6"/>
    </row>
    <row r="573" spans="15:15" x14ac:dyDescent="0.4">
      <c r="O573" s="6"/>
    </row>
    <row r="574" spans="15:15" x14ac:dyDescent="0.4">
      <c r="O574" s="6"/>
    </row>
    <row r="575" spans="15:15" x14ac:dyDescent="0.4">
      <c r="O575" s="6"/>
    </row>
    <row r="576" spans="15:15" x14ac:dyDescent="0.4">
      <c r="O576" s="6"/>
    </row>
    <row r="577" spans="15:15" x14ac:dyDescent="0.4">
      <c r="O577" s="6"/>
    </row>
    <row r="578" spans="15:15" x14ac:dyDescent="0.4">
      <c r="O578" s="6"/>
    </row>
    <row r="579" spans="15:15" x14ac:dyDescent="0.4">
      <c r="O579" s="6"/>
    </row>
    <row r="580" spans="15:15" x14ac:dyDescent="0.4">
      <c r="O580" s="6"/>
    </row>
    <row r="581" spans="15:15" x14ac:dyDescent="0.4">
      <c r="O581" s="6"/>
    </row>
    <row r="582" spans="15:15" x14ac:dyDescent="0.4">
      <c r="O582" s="6"/>
    </row>
    <row r="583" spans="15:15" x14ac:dyDescent="0.4">
      <c r="O583" s="6"/>
    </row>
    <row r="584" spans="15:15" x14ac:dyDescent="0.4">
      <c r="O584" s="6"/>
    </row>
    <row r="585" spans="15:15" x14ac:dyDescent="0.4">
      <c r="O585" s="6"/>
    </row>
    <row r="586" spans="15:15" x14ac:dyDescent="0.4">
      <c r="O586" s="6"/>
    </row>
    <row r="587" spans="15:15" x14ac:dyDescent="0.4">
      <c r="O587" s="6"/>
    </row>
    <row r="588" spans="15:15" x14ac:dyDescent="0.4">
      <c r="O588" s="6"/>
    </row>
    <row r="589" spans="15:15" x14ac:dyDescent="0.4">
      <c r="O589" s="6"/>
    </row>
    <row r="590" spans="15:15" x14ac:dyDescent="0.4">
      <c r="O590" s="6"/>
    </row>
    <row r="591" spans="15:15" x14ac:dyDescent="0.4">
      <c r="O591" s="6"/>
    </row>
    <row r="592" spans="15:15" x14ac:dyDescent="0.4">
      <c r="O592" s="6"/>
    </row>
    <row r="593" spans="15:15" x14ac:dyDescent="0.4">
      <c r="O593" s="6"/>
    </row>
    <row r="594" spans="15:15" x14ac:dyDescent="0.4">
      <c r="O594" s="6"/>
    </row>
    <row r="595" spans="15:15" x14ac:dyDescent="0.4">
      <c r="O595" s="6"/>
    </row>
    <row r="596" spans="15:15" x14ac:dyDescent="0.4">
      <c r="O596" s="6"/>
    </row>
    <row r="597" spans="15:15" x14ac:dyDescent="0.4">
      <c r="O597" s="6"/>
    </row>
    <row r="598" spans="15:15" x14ac:dyDescent="0.4">
      <c r="O598" s="6"/>
    </row>
    <row r="599" spans="15:15" x14ac:dyDescent="0.4">
      <c r="O599" s="6"/>
    </row>
    <row r="600" spans="15:15" x14ac:dyDescent="0.4">
      <c r="O600" s="6"/>
    </row>
    <row r="601" spans="15:15" x14ac:dyDescent="0.4">
      <c r="O601" s="6"/>
    </row>
    <row r="602" spans="15:15" x14ac:dyDescent="0.4">
      <c r="O602" s="6"/>
    </row>
    <row r="603" spans="15:15" x14ac:dyDescent="0.4">
      <c r="O603" s="6"/>
    </row>
    <row r="604" spans="15:15" x14ac:dyDescent="0.4">
      <c r="O604" s="6"/>
    </row>
    <row r="605" spans="15:15" x14ac:dyDescent="0.4">
      <c r="O605" s="6"/>
    </row>
    <row r="606" spans="15:15" x14ac:dyDescent="0.4">
      <c r="O606" s="6"/>
    </row>
    <row r="607" spans="15:15" x14ac:dyDescent="0.4">
      <c r="O607" s="6"/>
    </row>
    <row r="608" spans="15:15" x14ac:dyDescent="0.4">
      <c r="O608" s="6"/>
    </row>
    <row r="609" spans="15:15" x14ac:dyDescent="0.4">
      <c r="O609" s="6"/>
    </row>
    <row r="610" spans="15:15" x14ac:dyDescent="0.4">
      <c r="O610" s="6"/>
    </row>
    <row r="611" spans="15:15" x14ac:dyDescent="0.4">
      <c r="O611" s="6"/>
    </row>
    <row r="612" spans="15:15" x14ac:dyDescent="0.4">
      <c r="O612" s="6"/>
    </row>
    <row r="613" spans="15:15" x14ac:dyDescent="0.4">
      <c r="O613" s="6"/>
    </row>
    <row r="614" spans="15:15" x14ac:dyDescent="0.4">
      <c r="O614" s="6"/>
    </row>
    <row r="615" spans="15:15" x14ac:dyDescent="0.4">
      <c r="O615" s="6"/>
    </row>
    <row r="616" spans="15:15" x14ac:dyDescent="0.4">
      <c r="O616" s="6"/>
    </row>
    <row r="617" spans="15:15" x14ac:dyDescent="0.4">
      <c r="O617" s="6"/>
    </row>
    <row r="618" spans="15:15" x14ac:dyDescent="0.4">
      <c r="O618" s="6"/>
    </row>
    <row r="619" spans="15:15" x14ac:dyDescent="0.4">
      <c r="O619" s="6"/>
    </row>
    <row r="620" spans="15:15" x14ac:dyDescent="0.4">
      <c r="O620" s="6"/>
    </row>
    <row r="621" spans="15:15" x14ac:dyDescent="0.4">
      <c r="O621" s="6"/>
    </row>
    <row r="622" spans="15:15" x14ac:dyDescent="0.4">
      <c r="O622" s="6"/>
    </row>
    <row r="623" spans="15:15" x14ac:dyDescent="0.4">
      <c r="O623" s="6"/>
    </row>
    <row r="624" spans="15:15" x14ac:dyDescent="0.4">
      <c r="O624" s="6"/>
    </row>
    <row r="625" spans="15:15" x14ac:dyDescent="0.4">
      <c r="O625" s="6"/>
    </row>
    <row r="626" spans="15:15" x14ac:dyDescent="0.4">
      <c r="O626" s="6"/>
    </row>
    <row r="627" spans="15:15" x14ac:dyDescent="0.4">
      <c r="O627" s="6"/>
    </row>
    <row r="628" spans="15:15" x14ac:dyDescent="0.4">
      <c r="O628" s="6"/>
    </row>
    <row r="629" spans="15:15" x14ac:dyDescent="0.4">
      <c r="O629" s="6"/>
    </row>
    <row r="630" spans="15:15" x14ac:dyDescent="0.4">
      <c r="O630" s="6"/>
    </row>
    <row r="631" spans="15:15" x14ac:dyDescent="0.4">
      <c r="O631" s="6"/>
    </row>
    <row r="632" spans="15:15" x14ac:dyDescent="0.4">
      <c r="O632" s="6"/>
    </row>
    <row r="633" spans="15:15" x14ac:dyDescent="0.4">
      <c r="O633" s="6"/>
    </row>
    <row r="634" spans="15:15" x14ac:dyDescent="0.4">
      <c r="O634" s="6"/>
    </row>
    <row r="635" spans="15:15" x14ac:dyDescent="0.4">
      <c r="O635" s="6"/>
    </row>
    <row r="636" spans="15:15" x14ac:dyDescent="0.4">
      <c r="O636" s="6"/>
    </row>
    <row r="637" spans="15:15" x14ac:dyDescent="0.4">
      <c r="O637" s="6"/>
    </row>
    <row r="638" spans="15:15" x14ac:dyDescent="0.4">
      <c r="O638" s="6"/>
    </row>
    <row r="639" spans="15:15" x14ac:dyDescent="0.4">
      <c r="O639" s="6"/>
    </row>
    <row r="640" spans="15:15" x14ac:dyDescent="0.4">
      <c r="O640" s="6"/>
    </row>
    <row r="641" spans="15:15" x14ac:dyDescent="0.4">
      <c r="O641" s="6"/>
    </row>
    <row r="642" spans="15:15" x14ac:dyDescent="0.4">
      <c r="O642" s="6"/>
    </row>
    <row r="643" spans="15:15" x14ac:dyDescent="0.4">
      <c r="O643" s="6"/>
    </row>
    <row r="644" spans="15:15" x14ac:dyDescent="0.4">
      <c r="O644" s="6"/>
    </row>
    <row r="645" spans="15:15" x14ac:dyDescent="0.4">
      <c r="O645" s="6"/>
    </row>
    <row r="646" spans="15:15" x14ac:dyDescent="0.4">
      <c r="O646" s="6"/>
    </row>
    <row r="647" spans="15:15" x14ac:dyDescent="0.4">
      <c r="O647" s="6"/>
    </row>
    <row r="648" spans="15:15" x14ac:dyDescent="0.4">
      <c r="O648" s="6"/>
    </row>
    <row r="649" spans="15:15" x14ac:dyDescent="0.4">
      <c r="O649" s="6"/>
    </row>
    <row r="650" spans="15:15" x14ac:dyDescent="0.4">
      <c r="O650" s="6"/>
    </row>
    <row r="651" spans="15:15" x14ac:dyDescent="0.4">
      <c r="O651" s="6"/>
    </row>
    <row r="652" spans="15:15" x14ac:dyDescent="0.4">
      <c r="O652" s="6"/>
    </row>
    <row r="653" spans="15:15" x14ac:dyDescent="0.4">
      <c r="O653" s="6"/>
    </row>
    <row r="654" spans="15:15" x14ac:dyDescent="0.4">
      <c r="O654" s="6"/>
    </row>
    <row r="655" spans="15:15" x14ac:dyDescent="0.4">
      <c r="O655" s="6"/>
    </row>
    <row r="656" spans="15:15" x14ac:dyDescent="0.4">
      <c r="O656" s="6"/>
    </row>
    <row r="657" spans="15:15" x14ac:dyDescent="0.4">
      <c r="O657" s="6"/>
    </row>
    <row r="658" spans="15:15" x14ac:dyDescent="0.4">
      <c r="O658" s="6"/>
    </row>
    <row r="659" spans="15:15" x14ac:dyDescent="0.4">
      <c r="O659" s="6"/>
    </row>
    <row r="660" spans="15:15" x14ac:dyDescent="0.4">
      <c r="O660" s="6"/>
    </row>
    <row r="661" spans="15:15" x14ac:dyDescent="0.4">
      <c r="O661" s="6"/>
    </row>
    <row r="662" spans="15:15" x14ac:dyDescent="0.4">
      <c r="O662" s="6"/>
    </row>
    <row r="663" spans="15:15" x14ac:dyDescent="0.4">
      <c r="O663" s="6"/>
    </row>
    <row r="664" spans="15:15" x14ac:dyDescent="0.4">
      <c r="O664" s="6"/>
    </row>
    <row r="665" spans="15:15" x14ac:dyDescent="0.4">
      <c r="O665" s="6"/>
    </row>
    <row r="666" spans="15:15" x14ac:dyDescent="0.4">
      <c r="O666" s="6"/>
    </row>
    <row r="667" spans="15:15" x14ac:dyDescent="0.4">
      <c r="O667" s="6"/>
    </row>
    <row r="668" spans="15:15" x14ac:dyDescent="0.4">
      <c r="O668" s="6"/>
    </row>
    <row r="669" spans="15:15" x14ac:dyDescent="0.4">
      <c r="O669" s="6"/>
    </row>
    <row r="670" spans="15:15" x14ac:dyDescent="0.4">
      <c r="O670" s="6"/>
    </row>
    <row r="671" spans="15:15" x14ac:dyDescent="0.4">
      <c r="O671" s="6"/>
    </row>
    <row r="672" spans="15:15" x14ac:dyDescent="0.4">
      <c r="O672" s="6"/>
    </row>
    <row r="673" spans="15:15" x14ac:dyDescent="0.4">
      <c r="O673" s="6"/>
    </row>
    <row r="674" spans="15:15" x14ac:dyDescent="0.4">
      <c r="O674" s="6"/>
    </row>
    <row r="675" spans="15:15" x14ac:dyDescent="0.4">
      <c r="O675" s="6"/>
    </row>
    <row r="676" spans="15:15" x14ac:dyDescent="0.4">
      <c r="O676" s="6"/>
    </row>
    <row r="677" spans="15:15" x14ac:dyDescent="0.4">
      <c r="O677" s="6"/>
    </row>
    <row r="678" spans="15:15" x14ac:dyDescent="0.4">
      <c r="O678" s="6"/>
    </row>
    <row r="679" spans="15:15" x14ac:dyDescent="0.4">
      <c r="O679" s="6"/>
    </row>
    <row r="680" spans="15:15" x14ac:dyDescent="0.4">
      <c r="O680" s="6"/>
    </row>
    <row r="681" spans="15:15" x14ac:dyDescent="0.4">
      <c r="O681" s="6"/>
    </row>
    <row r="682" spans="15:15" x14ac:dyDescent="0.4">
      <c r="O682" s="6"/>
    </row>
    <row r="683" spans="15:15" x14ac:dyDescent="0.4">
      <c r="O683" s="6"/>
    </row>
    <row r="684" spans="15:15" x14ac:dyDescent="0.4">
      <c r="O684" s="6"/>
    </row>
    <row r="685" spans="15:15" x14ac:dyDescent="0.4">
      <c r="O685" s="6"/>
    </row>
    <row r="686" spans="15:15" x14ac:dyDescent="0.4">
      <c r="O686" s="6"/>
    </row>
    <row r="687" spans="15:15" x14ac:dyDescent="0.4">
      <c r="O687" s="6"/>
    </row>
    <row r="688" spans="15:15" x14ac:dyDescent="0.4">
      <c r="O688" s="6"/>
    </row>
    <row r="689" spans="15:15" x14ac:dyDescent="0.4">
      <c r="O689" s="6"/>
    </row>
    <row r="690" spans="15:15" x14ac:dyDescent="0.4">
      <c r="O690" s="6"/>
    </row>
    <row r="691" spans="15:15" x14ac:dyDescent="0.4">
      <c r="O691" s="6"/>
    </row>
    <row r="692" spans="15:15" x14ac:dyDescent="0.4">
      <c r="O692" s="6"/>
    </row>
    <row r="693" spans="15:15" x14ac:dyDescent="0.4">
      <c r="O693" s="6"/>
    </row>
    <row r="694" spans="15:15" x14ac:dyDescent="0.4">
      <c r="O694" s="6"/>
    </row>
    <row r="695" spans="15:15" x14ac:dyDescent="0.4">
      <c r="O695" s="6"/>
    </row>
    <row r="696" spans="15:15" x14ac:dyDescent="0.4">
      <c r="O696" s="6"/>
    </row>
    <row r="697" spans="15:15" x14ac:dyDescent="0.4">
      <c r="O697" s="6"/>
    </row>
    <row r="698" spans="15:15" x14ac:dyDescent="0.4">
      <c r="O698" s="6"/>
    </row>
    <row r="699" spans="15:15" x14ac:dyDescent="0.4">
      <c r="O699" s="6"/>
    </row>
    <row r="700" spans="15:15" x14ac:dyDescent="0.4">
      <c r="O700" s="6"/>
    </row>
    <row r="701" spans="15:15" x14ac:dyDescent="0.4">
      <c r="O701" s="6"/>
    </row>
    <row r="702" spans="15:15" x14ac:dyDescent="0.4">
      <c r="O702" s="6"/>
    </row>
    <row r="703" spans="15:15" x14ac:dyDescent="0.4">
      <c r="O703" s="6"/>
    </row>
    <row r="704" spans="15:15" x14ac:dyDescent="0.4">
      <c r="O704" s="6"/>
    </row>
    <row r="705" spans="15:15" x14ac:dyDescent="0.4">
      <c r="O705" s="6"/>
    </row>
    <row r="706" spans="15:15" x14ac:dyDescent="0.4">
      <c r="O706" s="6"/>
    </row>
    <row r="707" spans="15:15" x14ac:dyDescent="0.4">
      <c r="O707" s="6"/>
    </row>
    <row r="708" spans="15:15" x14ac:dyDescent="0.4">
      <c r="O708" s="6"/>
    </row>
    <row r="709" spans="15:15" x14ac:dyDescent="0.4">
      <c r="O709" s="6"/>
    </row>
    <row r="710" spans="15:15" x14ac:dyDescent="0.4">
      <c r="O710" s="6"/>
    </row>
    <row r="711" spans="15:15" x14ac:dyDescent="0.4">
      <c r="O711" s="6"/>
    </row>
    <row r="712" spans="15:15" x14ac:dyDescent="0.4">
      <c r="O712" s="6"/>
    </row>
    <row r="713" spans="15:15" x14ac:dyDescent="0.4">
      <c r="O713" s="6"/>
    </row>
    <row r="714" spans="15:15" x14ac:dyDescent="0.4">
      <c r="O714" s="6"/>
    </row>
    <row r="715" spans="15:15" x14ac:dyDescent="0.4">
      <c r="O715" s="6"/>
    </row>
    <row r="716" spans="15:15" x14ac:dyDescent="0.4">
      <c r="O716" s="6"/>
    </row>
    <row r="717" spans="15:15" x14ac:dyDescent="0.4">
      <c r="O717" s="6"/>
    </row>
    <row r="718" spans="15:15" x14ac:dyDescent="0.4">
      <c r="O718" s="6"/>
    </row>
    <row r="719" spans="15:15" x14ac:dyDescent="0.4">
      <c r="O719" s="6"/>
    </row>
    <row r="720" spans="15:15" x14ac:dyDescent="0.4">
      <c r="O720" s="6"/>
    </row>
    <row r="721" spans="15:15" x14ac:dyDescent="0.4">
      <c r="O721" s="6"/>
    </row>
    <row r="722" spans="15:15" x14ac:dyDescent="0.4">
      <c r="O722" s="6"/>
    </row>
    <row r="723" spans="15:15" x14ac:dyDescent="0.4">
      <c r="O723" s="6"/>
    </row>
    <row r="724" spans="15:15" x14ac:dyDescent="0.4">
      <c r="O724" s="6"/>
    </row>
    <row r="725" spans="15:15" x14ac:dyDescent="0.4">
      <c r="O725" s="6"/>
    </row>
    <row r="726" spans="15:15" x14ac:dyDescent="0.4">
      <c r="O726" s="6"/>
    </row>
    <row r="727" spans="15:15" x14ac:dyDescent="0.4">
      <c r="O727" s="6"/>
    </row>
    <row r="728" spans="15:15" x14ac:dyDescent="0.4">
      <c r="O728" s="6"/>
    </row>
    <row r="729" spans="15:15" x14ac:dyDescent="0.4">
      <c r="O729" s="6"/>
    </row>
    <row r="730" spans="15:15" x14ac:dyDescent="0.4">
      <c r="O730" s="6"/>
    </row>
    <row r="731" spans="15:15" x14ac:dyDescent="0.4">
      <c r="O731" s="6"/>
    </row>
    <row r="732" spans="15:15" x14ac:dyDescent="0.4">
      <c r="O732" s="6"/>
    </row>
    <row r="733" spans="15:15" x14ac:dyDescent="0.4">
      <c r="O733" s="6"/>
    </row>
    <row r="734" spans="15:15" x14ac:dyDescent="0.4">
      <c r="O734" s="6"/>
    </row>
    <row r="735" spans="15:15" x14ac:dyDescent="0.4">
      <c r="O735" s="6"/>
    </row>
    <row r="736" spans="15:15" x14ac:dyDescent="0.4">
      <c r="O736" s="6"/>
    </row>
    <row r="737" spans="15:15" x14ac:dyDescent="0.4">
      <c r="O737" s="6"/>
    </row>
    <row r="738" spans="15:15" x14ac:dyDescent="0.4">
      <c r="O738" s="6"/>
    </row>
    <row r="739" spans="15:15" x14ac:dyDescent="0.4">
      <c r="O739" s="6"/>
    </row>
    <row r="740" spans="15:15" x14ac:dyDescent="0.4">
      <c r="O740" s="6"/>
    </row>
    <row r="741" spans="15:15" x14ac:dyDescent="0.4">
      <c r="O741" s="6"/>
    </row>
    <row r="742" spans="15:15" x14ac:dyDescent="0.4">
      <c r="O742" s="6"/>
    </row>
    <row r="743" spans="15:15" x14ac:dyDescent="0.4">
      <c r="O743" s="6"/>
    </row>
    <row r="744" spans="15:15" x14ac:dyDescent="0.4">
      <c r="O744" s="6"/>
    </row>
    <row r="745" spans="15:15" x14ac:dyDescent="0.4">
      <c r="O745" s="6"/>
    </row>
    <row r="746" spans="15:15" x14ac:dyDescent="0.4">
      <c r="O746" s="6"/>
    </row>
    <row r="747" spans="15:15" x14ac:dyDescent="0.4">
      <c r="O747" s="6"/>
    </row>
    <row r="748" spans="15:15" x14ac:dyDescent="0.4">
      <c r="O748" s="6"/>
    </row>
    <row r="749" spans="15:15" x14ac:dyDescent="0.4">
      <c r="O749" s="6"/>
    </row>
    <row r="750" spans="15:15" x14ac:dyDescent="0.4">
      <c r="O750" s="6"/>
    </row>
    <row r="751" spans="15:15" x14ac:dyDescent="0.4">
      <c r="O751" s="6"/>
    </row>
    <row r="752" spans="15:15" x14ac:dyDescent="0.4">
      <c r="O752" s="6"/>
    </row>
    <row r="753" spans="15:15" x14ac:dyDescent="0.4">
      <c r="O753" s="6"/>
    </row>
    <row r="754" spans="15:15" x14ac:dyDescent="0.4">
      <c r="O754" s="6"/>
    </row>
    <row r="755" spans="15:15" x14ac:dyDescent="0.4">
      <c r="O755" s="6"/>
    </row>
    <row r="756" spans="15:15" x14ac:dyDescent="0.4">
      <c r="O756" s="6"/>
    </row>
    <row r="757" spans="15:15" x14ac:dyDescent="0.4">
      <c r="O757" s="6"/>
    </row>
    <row r="758" spans="15:15" x14ac:dyDescent="0.4">
      <c r="O758" s="6"/>
    </row>
    <row r="759" spans="15:15" x14ac:dyDescent="0.4">
      <c r="O759" s="6"/>
    </row>
    <row r="760" spans="15:15" x14ac:dyDescent="0.4">
      <c r="O760" s="6"/>
    </row>
    <row r="761" spans="15:15" x14ac:dyDescent="0.4">
      <c r="O761" s="6"/>
    </row>
    <row r="762" spans="15:15" x14ac:dyDescent="0.4">
      <c r="O762" s="6"/>
    </row>
    <row r="763" spans="15:15" x14ac:dyDescent="0.4">
      <c r="O763" s="6"/>
    </row>
    <row r="764" spans="15:15" x14ac:dyDescent="0.4">
      <c r="O764" s="6"/>
    </row>
    <row r="765" spans="15:15" x14ac:dyDescent="0.4">
      <c r="O765" s="6"/>
    </row>
    <row r="766" spans="15:15" x14ac:dyDescent="0.4">
      <c r="O766" s="6"/>
    </row>
    <row r="767" spans="15:15" x14ac:dyDescent="0.4">
      <c r="O767" s="6"/>
    </row>
    <row r="768" spans="15:15" x14ac:dyDescent="0.4">
      <c r="O768" s="6"/>
    </row>
    <row r="769" spans="15:15" x14ac:dyDescent="0.4">
      <c r="O769" s="6"/>
    </row>
    <row r="770" spans="15:15" x14ac:dyDescent="0.4">
      <c r="O770" s="6"/>
    </row>
    <row r="771" spans="15:15" x14ac:dyDescent="0.4">
      <c r="O771" s="6"/>
    </row>
    <row r="772" spans="15:15" x14ac:dyDescent="0.4">
      <c r="O772" s="6"/>
    </row>
    <row r="773" spans="15:15" x14ac:dyDescent="0.4">
      <c r="O773" s="6"/>
    </row>
    <row r="774" spans="15:15" x14ac:dyDescent="0.4">
      <c r="O774" s="6"/>
    </row>
    <row r="775" spans="15:15" x14ac:dyDescent="0.4">
      <c r="O775" s="6"/>
    </row>
    <row r="776" spans="15:15" x14ac:dyDescent="0.4">
      <c r="O776" s="6"/>
    </row>
    <row r="777" spans="15:15" x14ac:dyDescent="0.4">
      <c r="O777" s="6"/>
    </row>
    <row r="778" spans="15:15" x14ac:dyDescent="0.4">
      <c r="O778" s="6"/>
    </row>
    <row r="779" spans="15:15" x14ac:dyDescent="0.4">
      <c r="O779" s="6"/>
    </row>
    <row r="780" spans="15:15" x14ac:dyDescent="0.4">
      <c r="O780" s="6"/>
    </row>
    <row r="781" spans="15:15" x14ac:dyDescent="0.4">
      <c r="O781" s="6"/>
    </row>
    <row r="782" spans="15:15" x14ac:dyDescent="0.4">
      <c r="O782" s="6"/>
    </row>
    <row r="783" spans="15:15" x14ac:dyDescent="0.4">
      <c r="O783" s="6"/>
    </row>
    <row r="784" spans="15:15" x14ac:dyDescent="0.4">
      <c r="O784" s="6"/>
    </row>
    <row r="785" spans="15:15" x14ac:dyDescent="0.4">
      <c r="O785" s="6"/>
    </row>
    <row r="786" spans="15:15" x14ac:dyDescent="0.4">
      <c r="O786" s="6"/>
    </row>
    <row r="787" spans="15:15" x14ac:dyDescent="0.4">
      <c r="O787" s="6"/>
    </row>
    <row r="788" spans="15:15" x14ac:dyDescent="0.4">
      <c r="O788" s="6"/>
    </row>
    <row r="789" spans="15:15" x14ac:dyDescent="0.4">
      <c r="O789" s="6"/>
    </row>
    <row r="790" spans="15:15" x14ac:dyDescent="0.4">
      <c r="O790" s="6"/>
    </row>
    <row r="791" spans="15:15" x14ac:dyDescent="0.4">
      <c r="O791" s="6"/>
    </row>
    <row r="792" spans="15:15" x14ac:dyDescent="0.4">
      <c r="O792" s="6"/>
    </row>
    <row r="793" spans="15:15" x14ac:dyDescent="0.4">
      <c r="O793" s="6"/>
    </row>
    <row r="794" spans="15:15" x14ac:dyDescent="0.4">
      <c r="O794" s="6"/>
    </row>
    <row r="795" spans="15:15" x14ac:dyDescent="0.4">
      <c r="O795" s="6"/>
    </row>
    <row r="796" spans="15:15" x14ac:dyDescent="0.4">
      <c r="O796" s="6"/>
    </row>
    <row r="797" spans="15:15" x14ac:dyDescent="0.4">
      <c r="O797" s="6"/>
    </row>
    <row r="798" spans="15:15" x14ac:dyDescent="0.4">
      <c r="O798" s="6"/>
    </row>
    <row r="799" spans="15:15" x14ac:dyDescent="0.4">
      <c r="O799" s="6"/>
    </row>
    <row r="800" spans="15:15" x14ac:dyDescent="0.4">
      <c r="O800" s="6"/>
    </row>
    <row r="801" spans="15:15" x14ac:dyDescent="0.4">
      <c r="O801" s="6"/>
    </row>
    <row r="802" spans="15:15" x14ac:dyDescent="0.4">
      <c r="O802" s="6"/>
    </row>
    <row r="803" spans="15:15" x14ac:dyDescent="0.4">
      <c r="O803" s="6"/>
    </row>
    <row r="804" spans="15:15" x14ac:dyDescent="0.4">
      <c r="O804" s="6"/>
    </row>
    <row r="805" spans="15:15" x14ac:dyDescent="0.4">
      <c r="O805" s="6"/>
    </row>
    <row r="806" spans="15:15" x14ac:dyDescent="0.4">
      <c r="O806" s="6"/>
    </row>
    <row r="807" spans="15:15" x14ac:dyDescent="0.4">
      <c r="O807" s="6"/>
    </row>
    <row r="808" spans="15:15" x14ac:dyDescent="0.4">
      <c r="O808" s="6"/>
    </row>
    <row r="809" spans="15:15" x14ac:dyDescent="0.4">
      <c r="O809" s="6"/>
    </row>
    <row r="810" spans="15:15" x14ac:dyDescent="0.4">
      <c r="O810" s="6"/>
    </row>
    <row r="811" spans="15:15" x14ac:dyDescent="0.4">
      <c r="O811" s="6"/>
    </row>
    <row r="812" spans="15:15" x14ac:dyDescent="0.4">
      <c r="O812" s="6"/>
    </row>
    <row r="813" spans="15:15" x14ac:dyDescent="0.4">
      <c r="O813" s="6"/>
    </row>
    <row r="814" spans="15:15" x14ac:dyDescent="0.4">
      <c r="O814" s="6"/>
    </row>
    <row r="815" spans="15:15" x14ac:dyDescent="0.4">
      <c r="O815" s="6"/>
    </row>
    <row r="816" spans="15:15" x14ac:dyDescent="0.4">
      <c r="O816" s="6"/>
    </row>
    <row r="817" spans="15:15" x14ac:dyDescent="0.4">
      <c r="O817" s="6"/>
    </row>
    <row r="818" spans="15:15" x14ac:dyDescent="0.4">
      <c r="O818" s="6"/>
    </row>
    <row r="819" spans="15:15" x14ac:dyDescent="0.4">
      <c r="O819" s="6"/>
    </row>
    <row r="820" spans="15:15" x14ac:dyDescent="0.4">
      <c r="O820" s="6"/>
    </row>
    <row r="821" spans="15:15" x14ac:dyDescent="0.4">
      <c r="O821" s="6"/>
    </row>
    <row r="822" spans="15:15" x14ac:dyDescent="0.4">
      <c r="O822" s="6"/>
    </row>
    <row r="823" spans="15:15" x14ac:dyDescent="0.4">
      <c r="O823" s="6"/>
    </row>
    <row r="824" spans="15:15" x14ac:dyDescent="0.4">
      <c r="O824" s="6"/>
    </row>
    <row r="825" spans="15:15" x14ac:dyDescent="0.4">
      <c r="O825" s="6"/>
    </row>
    <row r="826" spans="15:15" x14ac:dyDescent="0.4">
      <c r="O826" s="6"/>
    </row>
    <row r="827" spans="15:15" x14ac:dyDescent="0.4">
      <c r="O827" s="6"/>
    </row>
    <row r="828" spans="15:15" x14ac:dyDescent="0.4">
      <c r="O828" s="6"/>
    </row>
    <row r="829" spans="15:15" x14ac:dyDescent="0.4">
      <c r="O829" s="6"/>
    </row>
    <row r="830" spans="15:15" x14ac:dyDescent="0.4">
      <c r="O830" s="6"/>
    </row>
    <row r="831" spans="15:15" x14ac:dyDescent="0.4">
      <c r="O831" s="6"/>
    </row>
    <row r="832" spans="15:15" x14ac:dyDescent="0.4">
      <c r="O832" s="6"/>
    </row>
    <row r="833" spans="15:15" x14ac:dyDescent="0.4">
      <c r="O833" s="6"/>
    </row>
    <row r="834" spans="15:15" x14ac:dyDescent="0.4">
      <c r="O834" s="6"/>
    </row>
    <row r="835" spans="15:15" x14ac:dyDescent="0.4">
      <c r="O835" s="6"/>
    </row>
    <row r="836" spans="15:15" x14ac:dyDescent="0.4">
      <c r="O836" s="6"/>
    </row>
    <row r="837" spans="15:15" x14ac:dyDescent="0.4">
      <c r="O837" s="6"/>
    </row>
    <row r="838" spans="15:15" x14ac:dyDescent="0.4">
      <c r="O838" s="6"/>
    </row>
    <row r="839" spans="15:15" x14ac:dyDescent="0.4">
      <c r="O839" s="6"/>
    </row>
    <row r="840" spans="15:15" x14ac:dyDescent="0.4">
      <c r="O840" s="6"/>
    </row>
    <row r="841" spans="15:15" x14ac:dyDescent="0.4">
      <c r="O841" s="6"/>
    </row>
    <row r="842" spans="15:15" x14ac:dyDescent="0.4">
      <c r="O842" s="6"/>
    </row>
    <row r="843" spans="15:15" x14ac:dyDescent="0.4">
      <c r="O843" s="6"/>
    </row>
    <row r="844" spans="15:15" x14ac:dyDescent="0.4">
      <c r="O844" s="6"/>
    </row>
    <row r="845" spans="15:15" x14ac:dyDescent="0.4">
      <c r="O845" s="6"/>
    </row>
    <row r="846" spans="15:15" x14ac:dyDescent="0.4">
      <c r="O846" s="6"/>
    </row>
    <row r="847" spans="15:15" x14ac:dyDescent="0.4">
      <c r="O847" s="6"/>
    </row>
    <row r="848" spans="15:15" x14ac:dyDescent="0.4">
      <c r="O848" s="6"/>
    </row>
    <row r="849" spans="15:15" x14ac:dyDescent="0.4">
      <c r="O849" s="6"/>
    </row>
    <row r="850" spans="15:15" x14ac:dyDescent="0.4">
      <c r="O850" s="6"/>
    </row>
    <row r="851" spans="15:15" x14ac:dyDescent="0.4">
      <c r="O851" s="6"/>
    </row>
    <row r="852" spans="15:15" x14ac:dyDescent="0.4">
      <c r="O852" s="6"/>
    </row>
    <row r="853" spans="15:15" x14ac:dyDescent="0.4">
      <c r="O853" s="6"/>
    </row>
    <row r="854" spans="15:15" x14ac:dyDescent="0.4">
      <c r="O854" s="6"/>
    </row>
    <row r="855" spans="15:15" x14ac:dyDescent="0.4">
      <c r="O855" s="6"/>
    </row>
    <row r="856" spans="15:15" x14ac:dyDescent="0.4">
      <c r="O856" s="6"/>
    </row>
    <row r="857" spans="15:15" x14ac:dyDescent="0.4">
      <c r="O857" s="6"/>
    </row>
    <row r="858" spans="15:15" x14ac:dyDescent="0.4">
      <c r="O858" s="6"/>
    </row>
    <row r="859" spans="15:15" x14ac:dyDescent="0.4">
      <c r="O859" s="6"/>
    </row>
    <row r="860" spans="15:15" x14ac:dyDescent="0.4">
      <c r="O860" s="6"/>
    </row>
    <row r="861" spans="15:15" x14ac:dyDescent="0.4">
      <c r="O861" s="6"/>
    </row>
    <row r="862" spans="15:15" x14ac:dyDescent="0.4">
      <c r="O862" s="6"/>
    </row>
    <row r="863" spans="15:15" x14ac:dyDescent="0.4">
      <c r="O863" s="6"/>
    </row>
    <row r="864" spans="15:15" x14ac:dyDescent="0.4">
      <c r="O864" s="6"/>
    </row>
    <row r="865" spans="15:15" x14ac:dyDescent="0.4">
      <c r="O865" s="6"/>
    </row>
    <row r="866" spans="15:15" x14ac:dyDescent="0.4">
      <c r="O866" s="6"/>
    </row>
    <row r="867" spans="15:15" x14ac:dyDescent="0.4">
      <c r="O867" s="6"/>
    </row>
    <row r="868" spans="15:15" x14ac:dyDescent="0.4">
      <c r="O868" s="6"/>
    </row>
    <row r="869" spans="15:15" x14ac:dyDescent="0.4">
      <c r="O869" s="6"/>
    </row>
    <row r="870" spans="15:15" x14ac:dyDescent="0.4">
      <c r="O870" s="6"/>
    </row>
    <row r="871" spans="15:15" x14ac:dyDescent="0.4">
      <c r="O871" s="6"/>
    </row>
    <row r="872" spans="15:15" x14ac:dyDescent="0.4">
      <c r="O872" s="6"/>
    </row>
    <row r="873" spans="15:15" x14ac:dyDescent="0.4">
      <c r="O873" s="6"/>
    </row>
    <row r="874" spans="15:15" x14ac:dyDescent="0.4">
      <c r="O874" s="6"/>
    </row>
    <row r="875" spans="15:15" x14ac:dyDescent="0.4">
      <c r="O875" s="6"/>
    </row>
    <row r="876" spans="15:15" x14ac:dyDescent="0.4">
      <c r="O876" s="6"/>
    </row>
    <row r="877" spans="15:15" x14ac:dyDescent="0.4">
      <c r="O877" s="6"/>
    </row>
    <row r="878" spans="15:15" x14ac:dyDescent="0.4">
      <c r="O878" s="6"/>
    </row>
    <row r="879" spans="15:15" x14ac:dyDescent="0.4">
      <c r="O879" s="6"/>
    </row>
    <row r="880" spans="15:15" x14ac:dyDescent="0.4">
      <c r="O880" s="6"/>
    </row>
    <row r="881" spans="15:15" x14ac:dyDescent="0.4">
      <c r="O881" s="6"/>
    </row>
    <row r="882" spans="15:15" x14ac:dyDescent="0.4">
      <c r="O882" s="6"/>
    </row>
    <row r="883" spans="15:15" x14ac:dyDescent="0.4">
      <c r="O883" s="6"/>
    </row>
    <row r="884" spans="15:15" x14ac:dyDescent="0.4">
      <c r="O884" s="6"/>
    </row>
    <row r="885" spans="15:15" x14ac:dyDescent="0.4">
      <c r="O885" s="6"/>
    </row>
    <row r="886" spans="15:15" x14ac:dyDescent="0.4">
      <c r="O886" s="6"/>
    </row>
    <row r="887" spans="15:15" x14ac:dyDescent="0.4">
      <c r="O887" s="6"/>
    </row>
    <row r="888" spans="15:15" x14ac:dyDescent="0.4">
      <c r="O888" s="6"/>
    </row>
    <row r="889" spans="15:15" x14ac:dyDescent="0.4">
      <c r="O889" s="6"/>
    </row>
    <row r="890" spans="15:15" x14ac:dyDescent="0.4">
      <c r="O890" s="6"/>
    </row>
    <row r="891" spans="15:15" x14ac:dyDescent="0.4">
      <c r="O891" s="6"/>
    </row>
    <row r="892" spans="15:15" x14ac:dyDescent="0.4">
      <c r="O892" s="6"/>
    </row>
    <row r="893" spans="15:15" x14ac:dyDescent="0.4">
      <c r="O893" s="6"/>
    </row>
    <row r="894" spans="15:15" x14ac:dyDescent="0.4">
      <c r="O894" s="6"/>
    </row>
    <row r="895" spans="15:15" x14ac:dyDescent="0.4">
      <c r="O895" s="6"/>
    </row>
    <row r="896" spans="15:15" x14ac:dyDescent="0.4">
      <c r="O896" s="6"/>
    </row>
    <row r="897" spans="15:15" x14ac:dyDescent="0.4">
      <c r="O897" s="6"/>
    </row>
    <row r="898" spans="15:15" x14ac:dyDescent="0.4">
      <c r="O898" s="6"/>
    </row>
    <row r="899" spans="15:15" x14ac:dyDescent="0.4">
      <c r="O899" s="6"/>
    </row>
    <row r="900" spans="15:15" x14ac:dyDescent="0.4">
      <c r="O900" s="6"/>
    </row>
    <row r="901" spans="15:15" x14ac:dyDescent="0.4">
      <c r="O901" s="6"/>
    </row>
    <row r="902" spans="15:15" x14ac:dyDescent="0.4">
      <c r="O902" s="6"/>
    </row>
    <row r="903" spans="15:15" x14ac:dyDescent="0.4">
      <c r="O903" s="6"/>
    </row>
    <row r="904" spans="15:15" x14ac:dyDescent="0.4">
      <c r="O904" s="6"/>
    </row>
    <row r="905" spans="15:15" x14ac:dyDescent="0.4">
      <c r="O905" s="6"/>
    </row>
    <row r="906" spans="15:15" x14ac:dyDescent="0.4">
      <c r="O906" s="6"/>
    </row>
    <row r="907" spans="15:15" x14ac:dyDescent="0.4">
      <c r="O907" s="6"/>
    </row>
    <row r="908" spans="15:15" x14ac:dyDescent="0.4">
      <c r="O908" s="6"/>
    </row>
    <row r="909" spans="15:15" x14ac:dyDescent="0.4">
      <c r="O909" s="6"/>
    </row>
    <row r="910" spans="15:15" x14ac:dyDescent="0.4">
      <c r="O910" s="6"/>
    </row>
    <row r="911" spans="15:15" x14ac:dyDescent="0.4">
      <c r="O911" s="6"/>
    </row>
    <row r="912" spans="15:15" x14ac:dyDescent="0.4">
      <c r="O912" s="6"/>
    </row>
    <row r="913" spans="15:15" x14ac:dyDescent="0.4">
      <c r="O913" s="6"/>
    </row>
    <row r="914" spans="15:15" x14ac:dyDescent="0.4">
      <c r="O914" s="6"/>
    </row>
    <row r="915" spans="15:15" x14ac:dyDescent="0.4">
      <c r="O915" s="6"/>
    </row>
    <row r="916" spans="15:15" x14ac:dyDescent="0.4">
      <c r="O916" s="6"/>
    </row>
    <row r="917" spans="15:15" x14ac:dyDescent="0.4">
      <c r="O917" s="6"/>
    </row>
    <row r="918" spans="15:15" x14ac:dyDescent="0.4">
      <c r="O918" s="6"/>
    </row>
    <row r="919" spans="15:15" x14ac:dyDescent="0.4">
      <c r="O919" s="6"/>
    </row>
    <row r="920" spans="15:15" x14ac:dyDescent="0.4">
      <c r="O920" s="6"/>
    </row>
    <row r="921" spans="15:15" x14ac:dyDescent="0.4">
      <c r="O921" s="6"/>
    </row>
    <row r="922" spans="15:15" x14ac:dyDescent="0.4">
      <c r="O922" s="6"/>
    </row>
    <row r="923" spans="15:15" x14ac:dyDescent="0.4">
      <c r="O923" s="6"/>
    </row>
    <row r="924" spans="15:15" x14ac:dyDescent="0.4">
      <c r="O924" s="6"/>
    </row>
    <row r="925" spans="15:15" x14ac:dyDescent="0.4">
      <c r="O925" s="6"/>
    </row>
    <row r="926" spans="15:15" x14ac:dyDescent="0.4">
      <c r="O926" s="6"/>
    </row>
    <row r="927" spans="15:15" x14ac:dyDescent="0.4">
      <c r="O927" s="6"/>
    </row>
    <row r="928" spans="15:15" x14ac:dyDescent="0.4">
      <c r="O928" s="6"/>
    </row>
    <row r="929" spans="15:15" x14ac:dyDescent="0.4">
      <c r="O929" s="6"/>
    </row>
    <row r="930" spans="15:15" x14ac:dyDescent="0.4">
      <c r="O930" s="6"/>
    </row>
    <row r="931" spans="15:15" x14ac:dyDescent="0.4">
      <c r="O931" s="6"/>
    </row>
    <row r="932" spans="15:15" x14ac:dyDescent="0.4">
      <c r="O932" s="6"/>
    </row>
    <row r="933" spans="15:15" x14ac:dyDescent="0.4">
      <c r="O933" s="6"/>
    </row>
    <row r="934" spans="15:15" x14ac:dyDescent="0.4">
      <c r="O934" s="6"/>
    </row>
    <row r="935" spans="15:15" x14ac:dyDescent="0.4">
      <c r="O935" s="6"/>
    </row>
    <row r="936" spans="15:15" x14ac:dyDescent="0.4">
      <c r="O936" s="6"/>
    </row>
    <row r="937" spans="15:15" x14ac:dyDescent="0.4">
      <c r="O937" s="6"/>
    </row>
    <row r="938" spans="15:15" x14ac:dyDescent="0.4">
      <c r="O938" s="6"/>
    </row>
    <row r="939" spans="15:15" x14ac:dyDescent="0.4">
      <c r="O939" s="6"/>
    </row>
    <row r="940" spans="15:15" x14ac:dyDescent="0.4">
      <c r="O940" s="6"/>
    </row>
    <row r="941" spans="15:15" x14ac:dyDescent="0.4">
      <c r="O941" s="6"/>
    </row>
    <row r="942" spans="15:15" x14ac:dyDescent="0.4">
      <c r="O942" s="6"/>
    </row>
    <row r="943" spans="15:15" x14ac:dyDescent="0.4">
      <c r="O943" s="6"/>
    </row>
    <row r="944" spans="15:15" x14ac:dyDescent="0.4">
      <c r="O944" s="6"/>
    </row>
    <row r="945" spans="15:15" x14ac:dyDescent="0.4">
      <c r="O945" s="6"/>
    </row>
    <row r="946" spans="15:15" x14ac:dyDescent="0.4">
      <c r="O946" s="6"/>
    </row>
    <row r="947" spans="15:15" x14ac:dyDescent="0.4">
      <c r="O947" s="6"/>
    </row>
    <row r="948" spans="15:15" x14ac:dyDescent="0.4">
      <c r="O948" s="6"/>
    </row>
    <row r="949" spans="15:15" x14ac:dyDescent="0.4">
      <c r="O949" s="6"/>
    </row>
    <row r="950" spans="15:15" x14ac:dyDescent="0.4">
      <c r="O950" s="6"/>
    </row>
    <row r="951" spans="15:15" x14ac:dyDescent="0.4">
      <c r="O951" s="6"/>
    </row>
    <row r="952" spans="15:15" x14ac:dyDescent="0.4">
      <c r="O952" s="6"/>
    </row>
    <row r="953" spans="15:15" x14ac:dyDescent="0.4">
      <c r="O953" s="6"/>
    </row>
    <row r="954" spans="15:15" x14ac:dyDescent="0.4">
      <c r="O954" s="6"/>
    </row>
    <row r="955" spans="15:15" x14ac:dyDescent="0.4">
      <c r="O955" s="6"/>
    </row>
    <row r="956" spans="15:15" x14ac:dyDescent="0.4">
      <c r="O956" s="6"/>
    </row>
    <row r="957" spans="15:15" x14ac:dyDescent="0.4">
      <c r="O957" s="6"/>
    </row>
    <row r="958" spans="15:15" x14ac:dyDescent="0.4">
      <c r="O958" s="6"/>
    </row>
    <row r="959" spans="15:15" x14ac:dyDescent="0.4">
      <c r="O959" s="6"/>
    </row>
    <row r="960" spans="15:15" x14ac:dyDescent="0.4">
      <c r="O960" s="6"/>
    </row>
    <row r="961" spans="15:15" x14ac:dyDescent="0.4">
      <c r="O961" s="6"/>
    </row>
    <row r="962" spans="15:15" x14ac:dyDescent="0.4">
      <c r="O962" s="6"/>
    </row>
    <row r="963" spans="15:15" x14ac:dyDescent="0.4">
      <c r="O963" s="6"/>
    </row>
    <row r="964" spans="15:15" x14ac:dyDescent="0.4">
      <c r="O964" s="6"/>
    </row>
    <row r="965" spans="15:15" x14ac:dyDescent="0.4">
      <c r="O965" s="6"/>
    </row>
    <row r="966" spans="15:15" x14ac:dyDescent="0.4">
      <c r="O966" s="6"/>
    </row>
    <row r="967" spans="15:15" x14ac:dyDescent="0.4">
      <c r="O967" s="6"/>
    </row>
    <row r="968" spans="15:15" x14ac:dyDescent="0.4">
      <c r="O968" s="6"/>
    </row>
    <row r="969" spans="15:15" x14ac:dyDescent="0.4">
      <c r="O969" s="6"/>
    </row>
    <row r="970" spans="15:15" x14ac:dyDescent="0.4">
      <c r="O970" s="6"/>
    </row>
    <row r="971" spans="15:15" x14ac:dyDescent="0.4">
      <c r="O971" s="6"/>
    </row>
    <row r="972" spans="15:15" x14ac:dyDescent="0.4">
      <c r="O972" s="6"/>
    </row>
    <row r="973" spans="15:15" x14ac:dyDescent="0.4">
      <c r="O973" s="6"/>
    </row>
    <row r="974" spans="15:15" x14ac:dyDescent="0.4">
      <c r="O974" s="6"/>
    </row>
    <row r="975" spans="15:15" x14ac:dyDescent="0.4">
      <c r="O975" s="6"/>
    </row>
    <row r="976" spans="15:15" x14ac:dyDescent="0.4">
      <c r="O976" s="6"/>
    </row>
    <row r="977" spans="15:15" x14ac:dyDescent="0.4">
      <c r="O977" s="6"/>
    </row>
    <row r="978" spans="15:15" x14ac:dyDescent="0.4">
      <c r="O978" s="6"/>
    </row>
    <row r="979" spans="15:15" x14ac:dyDescent="0.4">
      <c r="O979" s="6"/>
    </row>
    <row r="980" spans="15:15" x14ac:dyDescent="0.4">
      <c r="O980" s="6"/>
    </row>
    <row r="981" spans="15:15" x14ac:dyDescent="0.4">
      <c r="O981" s="6"/>
    </row>
    <row r="982" spans="15:15" x14ac:dyDescent="0.4">
      <c r="O982" s="6"/>
    </row>
    <row r="983" spans="15:15" x14ac:dyDescent="0.4">
      <c r="O983" s="6"/>
    </row>
    <row r="984" spans="15:15" x14ac:dyDescent="0.4">
      <c r="O984" s="6"/>
    </row>
    <row r="985" spans="15:15" x14ac:dyDescent="0.4">
      <c r="O985" s="6"/>
    </row>
    <row r="986" spans="15:15" x14ac:dyDescent="0.4">
      <c r="O986" s="6"/>
    </row>
    <row r="987" spans="15:15" x14ac:dyDescent="0.4">
      <c r="O987" s="6"/>
    </row>
    <row r="988" spans="15:15" x14ac:dyDescent="0.4">
      <c r="O988" s="6"/>
    </row>
    <row r="989" spans="15:15" x14ac:dyDescent="0.4">
      <c r="O989" s="6"/>
    </row>
    <row r="990" spans="15:15" x14ac:dyDescent="0.4">
      <c r="O990" s="6"/>
    </row>
    <row r="991" spans="15:15" x14ac:dyDescent="0.4">
      <c r="O991" s="6"/>
    </row>
    <row r="992" spans="15:15" x14ac:dyDescent="0.4">
      <c r="O992" s="6"/>
    </row>
    <row r="993" spans="15:15" x14ac:dyDescent="0.4">
      <c r="O993" s="6"/>
    </row>
    <row r="994" spans="15:15" x14ac:dyDescent="0.4">
      <c r="O994" s="6"/>
    </row>
    <row r="995" spans="15:15" x14ac:dyDescent="0.4">
      <c r="O995" s="6"/>
    </row>
    <row r="996" spans="15:15" x14ac:dyDescent="0.4">
      <c r="O996" s="6"/>
    </row>
    <row r="997" spans="15:15" x14ac:dyDescent="0.4">
      <c r="O997" s="6"/>
    </row>
    <row r="998" spans="15:15" x14ac:dyDescent="0.4">
      <c r="O998" s="6"/>
    </row>
    <row r="999" spans="15:15" x14ac:dyDescent="0.4">
      <c r="O999" s="6"/>
    </row>
    <row r="1000" spans="15:15" x14ac:dyDescent="0.4">
      <c r="O1000" s="6"/>
    </row>
    <row r="1001" spans="15:15" x14ac:dyDescent="0.4">
      <c r="O1001" s="6"/>
    </row>
    <row r="1002" spans="15:15" x14ac:dyDescent="0.4">
      <c r="O1002" s="6"/>
    </row>
    <row r="1003" spans="15:15" x14ac:dyDescent="0.4">
      <c r="O1003" s="6"/>
    </row>
    <row r="1004" spans="15:15" x14ac:dyDescent="0.4">
      <c r="O1004" s="6"/>
    </row>
    <row r="1005" spans="15:15" x14ac:dyDescent="0.4">
      <c r="O1005" s="6"/>
    </row>
    <row r="1006" spans="15:15" x14ac:dyDescent="0.4">
      <c r="O1006" s="6"/>
    </row>
    <row r="1007" spans="15:15" x14ac:dyDescent="0.4">
      <c r="O1007" s="6"/>
    </row>
    <row r="1008" spans="15:15" x14ac:dyDescent="0.4">
      <c r="O1008" s="6"/>
    </row>
    <row r="1009" spans="15:15" x14ac:dyDescent="0.4">
      <c r="O1009" s="6"/>
    </row>
    <row r="1010" spans="15:15" x14ac:dyDescent="0.4">
      <c r="O1010" s="6"/>
    </row>
    <row r="1011" spans="15:15" x14ac:dyDescent="0.4">
      <c r="O1011" s="6"/>
    </row>
    <row r="1012" spans="15:15" x14ac:dyDescent="0.4">
      <c r="O1012" s="6"/>
    </row>
    <row r="1013" spans="15:15" x14ac:dyDescent="0.4">
      <c r="O1013" s="6"/>
    </row>
    <row r="1014" spans="15:15" x14ac:dyDescent="0.4">
      <c r="O1014" s="6"/>
    </row>
    <row r="1015" spans="15:15" x14ac:dyDescent="0.4">
      <c r="O1015" s="6"/>
    </row>
    <row r="1016" spans="15:15" x14ac:dyDescent="0.4">
      <c r="O1016" s="6"/>
    </row>
    <row r="1017" spans="15:15" x14ac:dyDescent="0.4">
      <c r="O1017" s="6"/>
    </row>
    <row r="1018" spans="15:15" x14ac:dyDescent="0.4">
      <c r="O1018" s="6"/>
    </row>
    <row r="1019" spans="15:15" x14ac:dyDescent="0.4">
      <c r="O1019" s="6"/>
    </row>
    <row r="1020" spans="15:15" x14ac:dyDescent="0.4">
      <c r="O1020" s="6"/>
    </row>
    <row r="1021" spans="15:15" x14ac:dyDescent="0.4">
      <c r="O1021" s="6"/>
    </row>
    <row r="1022" spans="15:15" x14ac:dyDescent="0.4">
      <c r="O1022" s="6"/>
    </row>
    <row r="1023" spans="15:15" x14ac:dyDescent="0.4">
      <c r="O1023" s="6"/>
    </row>
    <row r="1024" spans="15:15" x14ac:dyDescent="0.4">
      <c r="O1024" s="6"/>
    </row>
    <row r="1025" spans="15:15" x14ac:dyDescent="0.4">
      <c r="O1025" s="6"/>
    </row>
    <row r="1026" spans="15:15" x14ac:dyDescent="0.4">
      <c r="O1026" s="6"/>
    </row>
    <row r="1027" spans="15:15" x14ac:dyDescent="0.4">
      <c r="O1027" s="6"/>
    </row>
    <row r="1028" spans="15:15" x14ac:dyDescent="0.4">
      <c r="O1028" s="6"/>
    </row>
    <row r="1029" spans="15:15" x14ac:dyDescent="0.4">
      <c r="O1029" s="6"/>
    </row>
    <row r="1030" spans="15:15" x14ac:dyDescent="0.4">
      <c r="O1030" s="6"/>
    </row>
    <row r="1031" spans="15:15" x14ac:dyDescent="0.4">
      <c r="O1031" s="6"/>
    </row>
    <row r="1032" spans="15:15" x14ac:dyDescent="0.4">
      <c r="O1032" s="6"/>
    </row>
    <row r="1033" spans="15:15" x14ac:dyDescent="0.4">
      <c r="O1033" s="6"/>
    </row>
    <row r="1034" spans="15:15" x14ac:dyDescent="0.4">
      <c r="O1034" s="6"/>
    </row>
    <row r="1035" spans="15:15" x14ac:dyDescent="0.4">
      <c r="O1035" s="6"/>
    </row>
    <row r="1036" spans="15:15" x14ac:dyDescent="0.4">
      <c r="O1036" s="6"/>
    </row>
    <row r="1037" spans="15:15" x14ac:dyDescent="0.4">
      <c r="O1037" s="6"/>
    </row>
    <row r="1038" spans="15:15" x14ac:dyDescent="0.4">
      <c r="O1038" s="6"/>
    </row>
    <row r="1039" spans="15:15" x14ac:dyDescent="0.4">
      <c r="O1039" s="6"/>
    </row>
    <row r="1040" spans="15:15" x14ac:dyDescent="0.4">
      <c r="O1040" s="6"/>
    </row>
    <row r="1041" spans="15:15" x14ac:dyDescent="0.4">
      <c r="O1041" s="6"/>
    </row>
    <row r="1042" spans="15:15" x14ac:dyDescent="0.4">
      <c r="O1042" s="6"/>
    </row>
    <row r="1043" spans="15:15" x14ac:dyDescent="0.4">
      <c r="O1043" s="6"/>
    </row>
    <row r="1044" spans="15:15" x14ac:dyDescent="0.4">
      <c r="O1044" s="6"/>
    </row>
  </sheetData>
  <phoneticPr fontId="1" type="noConversion"/>
  <conditionalFormatting sqref="A255:P1045 O5:P254 A5:M254">
    <cfRule type="expression" dxfId="11" priority="11">
      <formula>MOD(ROW(),2)=0</formula>
    </cfRule>
    <cfRule type="expression" dxfId="10" priority="13">
      <formula>MOD(ROW(),2)=1</formula>
    </cfRule>
  </conditionalFormatting>
  <conditionalFormatting sqref="E5:F5 E7:F104">
    <cfRule type="notContainsBlanks" dxfId="9" priority="12">
      <formula>LEN(TRIM(E5))&gt;0</formula>
    </cfRule>
  </conditionalFormatting>
  <conditionalFormatting sqref="O5:O12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5:V1044 S5:U254">
    <cfRule type="expression" dxfId="8" priority="10">
      <formula>MOD(ROW(),2)=1</formula>
    </cfRule>
  </conditionalFormatting>
  <conditionalFormatting sqref="I105:J127 I5:K104">
    <cfRule type="notContainsBlanks" dxfId="7" priority="8">
      <formula>LEN(TRIM(I5))&gt;0</formula>
    </cfRule>
  </conditionalFormatting>
  <conditionalFormatting sqref="B5:B1045">
    <cfRule type="containsText" dxfId="6" priority="4" operator="containsText" text="pat">
      <formula>NOT(ISERROR(SEARCH("pat",B5)))</formula>
    </cfRule>
    <cfRule type="containsText" dxfId="5" priority="5" operator="containsText" text="jmc">
      <formula>NOT(ISERROR(SEARCH("jmc",B5)))</formula>
    </cfRule>
    <cfRule type="containsText" dxfId="4" priority="6" operator="containsText" text="sit">
      <formula>NOT(ISERROR(SEARCH("sit",B5)))</formula>
    </cfRule>
    <cfRule type="containsText" dxfId="3" priority="7" operator="containsText" text="extra">
      <formula>NOT(ISERROR(SEARCH("extra",B5)))</formula>
    </cfRule>
  </conditionalFormatting>
  <conditionalFormatting sqref="N5:N254">
    <cfRule type="expression" dxfId="2" priority="3">
      <formula>MOD(ROW(),2)=1</formula>
    </cfRule>
  </conditionalFormatting>
  <conditionalFormatting sqref="V7:V254">
    <cfRule type="expression" dxfId="1" priority="2">
      <formula>MOD(ROW(),2)=1</formula>
    </cfRule>
  </conditionalFormatting>
  <conditionalFormatting sqref="V5:V6">
    <cfRule type="expression" dxfId="0" priority="1">
      <formula>MOD(ROW(),2)=1</formula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영어문장_질문봇3_특정번호_situation">
                <anchor moveWithCells="1" sizeWithCells="1">
                  <from>
                    <xdr:col>3</xdr:col>
                    <xdr:colOff>1630680</xdr:colOff>
                    <xdr:row>0</xdr:row>
                    <xdr:rowOff>0</xdr:rowOff>
                  </from>
                  <to>
                    <xdr:col>3</xdr:col>
                    <xdr:colOff>2316480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오답률고급필터_v1">
                <anchor moveWithCells="1" sizeWithCells="1">
                  <from>
                    <xdr:col>4</xdr:col>
                    <xdr:colOff>464820</xdr:colOff>
                    <xdr:row>0</xdr:row>
                    <xdr:rowOff>0</xdr:rowOff>
                  </from>
                  <to>
                    <xdr:col>5</xdr:col>
                    <xdr:colOff>464820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 macro="[0]!랜덤고급필터_v2">
                <anchor moveWithCells="1" sizeWithCells="1">
                  <from>
                    <xdr:col>3</xdr:col>
                    <xdr:colOff>2522220</xdr:colOff>
                    <xdr:row>0</xdr:row>
                    <xdr:rowOff>0</xdr:rowOff>
                  </from>
                  <to>
                    <xdr:col>4</xdr:col>
                    <xdr:colOff>259080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Button 4">
              <controlPr defaultSize="0" print="0" autoFill="0" autoPict="0" macro="[0]!default_v1">
                <anchor moveWithCells="1" sizeWithCells="1">
                  <from>
                    <xdr:col>3</xdr:col>
                    <xdr:colOff>746760</xdr:colOff>
                    <xdr:row>0</xdr:row>
                    <xdr:rowOff>0</xdr:rowOff>
                  </from>
                  <to>
                    <xdr:col>3</xdr:col>
                    <xdr:colOff>1417320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Button 5">
              <controlPr defaultSize="0" print="0" autoFill="0" autoPict="0" macro="[0]!Shuffle_v1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Button 6">
              <controlPr defaultSize="0" print="0" autoFill="0" autoPict="0" macro="[0]!todaydefault_v1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Button 7">
              <controlPr defaultSize="0" print="0" autoFill="0" autoPict="0" macro="[0]!todayLearningFin_v1">
                <anchor moveWithCells="1" siz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Button 8">
              <controlPr defaultSize="0" print="0" autoFill="0" autoPict="0" macro="[0]!미학습고급필터_v1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499984740745262"/>
  </sheetPr>
  <dimension ref="A1:S1045"/>
  <sheetViews>
    <sheetView showGridLines="0" zoomScale="80" zoomScaleNormal="80" workbookViewId="0">
      <selection activeCell="F11" sqref="F11"/>
    </sheetView>
  </sheetViews>
  <sheetFormatPr defaultRowHeight="17.399999999999999" x14ac:dyDescent="0.4"/>
  <cols>
    <col min="6" max="6" width="44.09765625" bestFit="1" customWidth="1"/>
    <col min="7" max="7" width="44.09765625" customWidth="1"/>
    <col min="8" max="8" width="38.3984375" customWidth="1"/>
    <col min="12" max="12" width="3.19921875" customWidth="1"/>
    <col min="16" max="16" width="3.19921875" bestFit="1" customWidth="1"/>
    <col min="17" max="17" width="3" bestFit="1" customWidth="1"/>
    <col min="18" max="18" width="4" bestFit="1" customWidth="1"/>
  </cols>
  <sheetData>
    <row r="1" spans="1:19" s="2" customFormat="1" ht="16.5" x14ac:dyDescent="0.3"/>
    <row r="2" spans="1:19" s="2" customFormat="1" ht="16.5" x14ac:dyDescent="0.3"/>
    <row r="3" spans="1:19" s="2" customFormat="1" ht="16.5" x14ac:dyDescent="0.3"/>
    <row r="4" spans="1:19" x14ac:dyDescent="0.4">
      <c r="A4" s="3" t="s">
        <v>1</v>
      </c>
      <c r="B4" s="3" t="s">
        <v>459</v>
      </c>
      <c r="C4" s="3" t="s">
        <v>463</v>
      </c>
      <c r="D4" s="4" t="s">
        <v>443</v>
      </c>
      <c r="E4" s="4" t="s">
        <v>444</v>
      </c>
      <c r="F4" s="4" t="s">
        <v>441</v>
      </c>
      <c r="G4" s="4" t="s">
        <v>451</v>
      </c>
      <c r="H4" s="4" t="s">
        <v>442</v>
      </c>
      <c r="I4" s="4" t="s">
        <v>447</v>
      </c>
      <c r="J4" s="4"/>
      <c r="K4" s="4"/>
      <c r="M4" s="4" t="s">
        <v>40</v>
      </c>
      <c r="N4" s="4" t="s">
        <v>41</v>
      </c>
      <c r="O4" s="4" t="s">
        <v>42</v>
      </c>
      <c r="P4" s="4" t="s">
        <v>138</v>
      </c>
      <c r="Q4" s="4" t="s">
        <v>139</v>
      </c>
      <c r="R4" s="4" t="s">
        <v>140</v>
      </c>
      <c r="S4" s="4" t="s">
        <v>84</v>
      </c>
    </row>
    <row r="5" spans="1:19" x14ac:dyDescent="0.4">
      <c r="A5">
        <v>1</v>
      </c>
      <c r="B5" t="s">
        <v>460</v>
      </c>
      <c r="D5" t="s">
        <v>449</v>
      </c>
      <c r="E5" t="s">
        <v>450</v>
      </c>
      <c r="F5" t="s">
        <v>445</v>
      </c>
      <c r="G5" t="s">
        <v>452</v>
      </c>
      <c r="H5" t="s">
        <v>446</v>
      </c>
      <c r="I5" s="5" t="s">
        <v>448</v>
      </c>
      <c r="M5" t="s">
        <v>68</v>
      </c>
      <c r="N5" t="s">
        <v>69</v>
      </c>
      <c r="P5">
        <v>4</v>
      </c>
      <c r="Q5">
        <v>1</v>
      </c>
      <c r="R5">
        <f>IFERROR(IF(P5+Q5=0,"",P5+Q5),"")</f>
        <v>5</v>
      </c>
      <c r="S5" s="6">
        <f t="shared" ref="S5:S68" si="0">IFERROR(P5/(Q5+P5),"")</f>
        <v>0.8</v>
      </c>
    </row>
    <row r="6" spans="1:19" x14ac:dyDescent="0.4">
      <c r="A6">
        <v>2</v>
      </c>
      <c r="B6" t="s">
        <v>460</v>
      </c>
      <c r="D6" t="s">
        <v>455</v>
      </c>
      <c r="E6" t="s">
        <v>456</v>
      </c>
      <c r="F6" t="s">
        <v>453</v>
      </c>
      <c r="G6" t="s">
        <v>454</v>
      </c>
      <c r="H6" t="s">
        <v>457</v>
      </c>
      <c r="I6" t="s">
        <v>458</v>
      </c>
      <c r="M6" t="s">
        <v>68</v>
      </c>
      <c r="N6" t="s">
        <v>69</v>
      </c>
      <c r="P6">
        <v>6</v>
      </c>
      <c r="R6">
        <f t="shared" ref="R6:R69" si="1">IFERROR(IF(P6+Q6=0,"",P6+Q6),"")</f>
        <v>6</v>
      </c>
      <c r="S6" s="6">
        <f t="shared" si="0"/>
        <v>1</v>
      </c>
    </row>
    <row r="7" spans="1:19" x14ac:dyDescent="0.4">
      <c r="A7">
        <v>3</v>
      </c>
      <c r="B7" t="s">
        <v>461</v>
      </c>
      <c r="C7" t="s">
        <v>481</v>
      </c>
      <c r="D7" t="s">
        <v>464</v>
      </c>
      <c r="E7" t="s">
        <v>465</v>
      </c>
      <c r="F7" t="s">
        <v>462</v>
      </c>
      <c r="G7" t="s">
        <v>466</v>
      </c>
      <c r="H7" t="s">
        <v>467</v>
      </c>
      <c r="I7" s="5"/>
      <c r="J7" s="5"/>
      <c r="M7" t="s">
        <v>68</v>
      </c>
      <c r="N7" t="s">
        <v>69</v>
      </c>
      <c r="P7">
        <v>5</v>
      </c>
      <c r="R7">
        <f t="shared" si="1"/>
        <v>5</v>
      </c>
      <c r="S7" s="6">
        <f t="shared" si="0"/>
        <v>1</v>
      </c>
    </row>
    <row r="8" spans="1:19" x14ac:dyDescent="0.4">
      <c r="A8">
        <v>4</v>
      </c>
      <c r="B8" t="s">
        <v>461</v>
      </c>
      <c r="C8" t="s">
        <v>481</v>
      </c>
      <c r="D8" t="s">
        <v>464</v>
      </c>
      <c r="E8" t="s">
        <v>465</v>
      </c>
      <c r="F8" t="s">
        <v>468</v>
      </c>
      <c r="G8" t="s">
        <v>469</v>
      </c>
      <c r="H8" t="s">
        <v>474</v>
      </c>
      <c r="I8" s="5"/>
      <c r="M8" t="s">
        <v>68</v>
      </c>
      <c r="N8" t="s">
        <v>69</v>
      </c>
      <c r="P8">
        <v>5</v>
      </c>
      <c r="Q8">
        <v>3</v>
      </c>
      <c r="R8">
        <f t="shared" si="1"/>
        <v>8</v>
      </c>
      <c r="S8" s="6">
        <f t="shared" si="0"/>
        <v>0.625</v>
      </c>
    </row>
    <row r="9" spans="1:19" x14ac:dyDescent="0.4">
      <c r="A9">
        <v>5</v>
      </c>
      <c r="B9" t="s">
        <v>461</v>
      </c>
      <c r="C9" t="s">
        <v>481</v>
      </c>
      <c r="D9" t="s">
        <v>470</v>
      </c>
      <c r="E9" t="s">
        <v>471</v>
      </c>
      <c r="F9" t="s">
        <v>472</v>
      </c>
      <c r="G9" t="s">
        <v>473</v>
      </c>
      <c r="H9" t="s">
        <v>475</v>
      </c>
      <c r="I9" s="5"/>
      <c r="M9" t="s">
        <v>68</v>
      </c>
      <c r="N9" t="s">
        <v>69</v>
      </c>
      <c r="P9">
        <v>3</v>
      </c>
      <c r="Q9">
        <v>3</v>
      </c>
      <c r="R9">
        <f t="shared" si="1"/>
        <v>6</v>
      </c>
      <c r="S9" s="6">
        <f t="shared" si="0"/>
        <v>0.5</v>
      </c>
    </row>
    <row r="10" spans="1:19" x14ac:dyDescent="0.4">
      <c r="A10">
        <v>6</v>
      </c>
      <c r="B10" t="s">
        <v>461</v>
      </c>
      <c r="C10" t="s">
        <v>482</v>
      </c>
      <c r="D10" t="s">
        <v>477</v>
      </c>
      <c r="E10" t="s">
        <v>476</v>
      </c>
      <c r="F10" t="s">
        <v>478</v>
      </c>
      <c r="G10" t="s">
        <v>479</v>
      </c>
      <c r="H10" t="s">
        <v>480</v>
      </c>
      <c r="I10" s="5"/>
      <c r="M10" t="s">
        <v>68</v>
      </c>
      <c r="N10" t="s">
        <v>69</v>
      </c>
      <c r="P10">
        <v>3</v>
      </c>
      <c r="Q10">
        <v>1</v>
      </c>
      <c r="R10">
        <f t="shared" si="1"/>
        <v>4</v>
      </c>
      <c r="S10" s="6">
        <f t="shared" si="0"/>
        <v>0.75</v>
      </c>
    </row>
    <row r="11" spans="1:19" x14ac:dyDescent="0.4">
      <c r="A11">
        <v>7</v>
      </c>
      <c r="B11" t="s">
        <v>461</v>
      </c>
      <c r="C11" t="s">
        <v>482</v>
      </c>
      <c r="D11" t="s">
        <v>483</v>
      </c>
      <c r="E11" t="s">
        <v>484</v>
      </c>
      <c r="F11" t="s">
        <v>485</v>
      </c>
      <c r="G11" t="s">
        <v>486</v>
      </c>
      <c r="H11" t="s">
        <v>487</v>
      </c>
      <c r="I11" s="5"/>
      <c r="M11" t="s">
        <v>68</v>
      </c>
      <c r="N11" t="s">
        <v>69</v>
      </c>
      <c r="P11">
        <v>2</v>
      </c>
      <c r="Q11">
        <v>1</v>
      </c>
      <c r="R11">
        <f t="shared" si="1"/>
        <v>3</v>
      </c>
      <c r="S11" s="6">
        <f t="shared" si="0"/>
        <v>0.66666666666666663</v>
      </c>
    </row>
    <row r="12" spans="1:19" x14ac:dyDescent="0.4">
      <c r="A12">
        <v>8</v>
      </c>
      <c r="B12" t="s">
        <v>461</v>
      </c>
      <c r="C12" t="s">
        <v>488</v>
      </c>
      <c r="D12" t="s">
        <v>490</v>
      </c>
      <c r="E12" t="s">
        <v>489</v>
      </c>
      <c r="F12" t="s">
        <v>491</v>
      </c>
      <c r="G12" t="s">
        <v>492</v>
      </c>
      <c r="H12" t="s">
        <v>493</v>
      </c>
      <c r="I12" s="5"/>
      <c r="M12" t="s">
        <v>68</v>
      </c>
      <c r="N12" t="s">
        <v>69</v>
      </c>
      <c r="P12">
        <v>2</v>
      </c>
      <c r="Q12">
        <v>3</v>
      </c>
      <c r="R12">
        <f t="shared" si="1"/>
        <v>5</v>
      </c>
      <c r="S12" s="6">
        <f t="shared" si="0"/>
        <v>0.4</v>
      </c>
    </row>
    <row r="13" spans="1:19" x14ac:dyDescent="0.4">
      <c r="A13">
        <v>9</v>
      </c>
      <c r="B13" t="s">
        <v>460</v>
      </c>
      <c r="D13" t="s">
        <v>496</v>
      </c>
      <c r="E13" t="s">
        <v>497</v>
      </c>
      <c r="F13" t="s">
        <v>494</v>
      </c>
      <c r="G13" t="s">
        <v>495</v>
      </c>
      <c r="H13" t="s">
        <v>498</v>
      </c>
      <c r="I13" s="5"/>
      <c r="M13" t="s">
        <v>68</v>
      </c>
      <c r="N13" t="s">
        <v>69</v>
      </c>
      <c r="P13">
        <v>2</v>
      </c>
      <c r="Q13">
        <v>2</v>
      </c>
      <c r="R13">
        <f t="shared" si="1"/>
        <v>4</v>
      </c>
      <c r="S13" s="6">
        <f t="shared" si="0"/>
        <v>0.5</v>
      </c>
    </row>
    <row r="14" spans="1:19" x14ac:dyDescent="0.4">
      <c r="A14">
        <v>10</v>
      </c>
      <c r="B14" t="s">
        <v>460</v>
      </c>
      <c r="D14" t="s">
        <v>499</v>
      </c>
      <c r="E14" t="s">
        <v>500</v>
      </c>
      <c r="F14" t="s">
        <v>501</v>
      </c>
      <c r="G14" t="s">
        <v>502</v>
      </c>
      <c r="H14" t="s">
        <v>503</v>
      </c>
      <c r="I14" s="5"/>
      <c r="M14" t="s">
        <v>68</v>
      </c>
      <c r="N14" t="s">
        <v>69</v>
      </c>
      <c r="P14">
        <v>2</v>
      </c>
      <c r="Q14">
        <v>1</v>
      </c>
      <c r="R14">
        <f t="shared" si="1"/>
        <v>3</v>
      </c>
      <c r="S14" s="6">
        <f t="shared" si="0"/>
        <v>0.66666666666666663</v>
      </c>
    </row>
    <row r="15" spans="1:19" x14ac:dyDescent="0.4">
      <c r="A15">
        <v>11</v>
      </c>
      <c r="B15" t="s">
        <v>460</v>
      </c>
      <c r="D15" t="s">
        <v>504</v>
      </c>
      <c r="E15" t="s">
        <v>505</v>
      </c>
      <c r="F15" t="s">
        <v>506</v>
      </c>
      <c r="G15" t="s">
        <v>507</v>
      </c>
      <c r="H15" t="s">
        <v>508</v>
      </c>
      <c r="I15" s="5"/>
      <c r="M15" t="s">
        <v>68</v>
      </c>
      <c r="N15" t="s">
        <v>69</v>
      </c>
      <c r="P15">
        <v>2</v>
      </c>
      <c r="Q15">
        <v>2</v>
      </c>
      <c r="R15">
        <f t="shared" si="1"/>
        <v>4</v>
      </c>
      <c r="S15" s="6">
        <f t="shared" si="0"/>
        <v>0.5</v>
      </c>
    </row>
    <row r="16" spans="1:19" x14ac:dyDescent="0.4">
      <c r="A16">
        <v>12</v>
      </c>
      <c r="I16" s="5"/>
      <c r="M16" t="s">
        <v>68</v>
      </c>
      <c r="N16" t="s">
        <v>69</v>
      </c>
      <c r="P16">
        <v>2</v>
      </c>
      <c r="Q16">
        <v>2</v>
      </c>
      <c r="R16">
        <f t="shared" si="1"/>
        <v>4</v>
      </c>
      <c r="S16" s="6">
        <f t="shared" si="0"/>
        <v>0.5</v>
      </c>
    </row>
    <row r="17" spans="1:19" x14ac:dyDescent="0.4">
      <c r="A17">
        <v>13</v>
      </c>
      <c r="I17" s="5"/>
      <c r="M17" t="s">
        <v>68</v>
      </c>
      <c r="N17" t="s">
        <v>69</v>
      </c>
      <c r="P17">
        <v>1</v>
      </c>
      <c r="Q17">
        <v>1</v>
      </c>
      <c r="R17">
        <f t="shared" si="1"/>
        <v>2</v>
      </c>
      <c r="S17" s="6">
        <f t="shared" si="0"/>
        <v>0.5</v>
      </c>
    </row>
    <row r="18" spans="1:19" x14ac:dyDescent="0.4">
      <c r="A18">
        <v>14</v>
      </c>
      <c r="I18" s="5"/>
      <c r="M18" t="s">
        <v>68</v>
      </c>
      <c r="N18" t="s">
        <v>69</v>
      </c>
      <c r="P18">
        <v>1</v>
      </c>
      <c r="Q18">
        <v>3</v>
      </c>
      <c r="R18">
        <f t="shared" si="1"/>
        <v>4</v>
      </c>
      <c r="S18" s="6">
        <f t="shared" si="0"/>
        <v>0.25</v>
      </c>
    </row>
    <row r="19" spans="1:19" x14ac:dyDescent="0.4">
      <c r="A19">
        <v>15</v>
      </c>
      <c r="I19" s="5"/>
      <c r="M19" t="s">
        <v>68</v>
      </c>
      <c r="N19" t="s">
        <v>69</v>
      </c>
      <c r="P19">
        <v>1</v>
      </c>
      <c r="Q19">
        <v>1</v>
      </c>
      <c r="R19">
        <f t="shared" si="1"/>
        <v>2</v>
      </c>
      <c r="S19" s="6">
        <f t="shared" si="0"/>
        <v>0.5</v>
      </c>
    </row>
    <row r="20" spans="1:19" x14ac:dyDescent="0.4">
      <c r="A20">
        <v>16</v>
      </c>
      <c r="I20" s="5"/>
      <c r="M20" t="s">
        <v>68</v>
      </c>
      <c r="N20" t="s">
        <v>69</v>
      </c>
      <c r="P20">
        <v>1</v>
      </c>
      <c r="Q20">
        <v>1</v>
      </c>
      <c r="R20">
        <f t="shared" si="1"/>
        <v>2</v>
      </c>
      <c r="S20" s="6">
        <f t="shared" si="0"/>
        <v>0.5</v>
      </c>
    </row>
    <row r="21" spans="1:19" x14ac:dyDescent="0.4">
      <c r="A21">
        <v>17</v>
      </c>
      <c r="I21" s="5"/>
      <c r="M21" t="s">
        <v>68</v>
      </c>
      <c r="N21" t="s">
        <v>69</v>
      </c>
      <c r="P21">
        <v>1</v>
      </c>
      <c r="Q21">
        <v>1</v>
      </c>
      <c r="R21">
        <f t="shared" si="1"/>
        <v>2</v>
      </c>
      <c r="S21" s="6">
        <f t="shared" si="0"/>
        <v>0.5</v>
      </c>
    </row>
    <row r="22" spans="1:19" x14ac:dyDescent="0.4">
      <c r="A22">
        <v>18</v>
      </c>
      <c r="I22" s="5"/>
      <c r="M22" t="s">
        <v>68</v>
      </c>
      <c r="N22" t="s">
        <v>69</v>
      </c>
      <c r="P22">
        <v>1</v>
      </c>
      <c r="R22">
        <f t="shared" si="1"/>
        <v>1</v>
      </c>
      <c r="S22" s="6">
        <f t="shared" si="0"/>
        <v>1</v>
      </c>
    </row>
    <row r="23" spans="1:19" x14ac:dyDescent="0.4">
      <c r="A23">
        <v>19</v>
      </c>
      <c r="I23" s="5"/>
      <c r="M23" t="s">
        <v>68</v>
      </c>
      <c r="N23" t="s">
        <v>69</v>
      </c>
      <c r="P23">
        <v>1</v>
      </c>
      <c r="R23">
        <f t="shared" si="1"/>
        <v>1</v>
      </c>
      <c r="S23" s="6">
        <f t="shared" si="0"/>
        <v>1</v>
      </c>
    </row>
    <row r="24" spans="1:19" x14ac:dyDescent="0.4">
      <c r="A24">
        <v>20</v>
      </c>
      <c r="I24" s="5"/>
      <c r="M24" t="s">
        <v>72</v>
      </c>
      <c r="N24" t="s">
        <v>73</v>
      </c>
      <c r="P24">
        <v>1</v>
      </c>
      <c r="Q24">
        <v>1</v>
      </c>
      <c r="R24">
        <f t="shared" si="1"/>
        <v>2</v>
      </c>
      <c r="S24" s="6">
        <f t="shared" si="0"/>
        <v>0.5</v>
      </c>
    </row>
    <row r="25" spans="1:19" x14ac:dyDescent="0.4">
      <c r="A25">
        <v>21</v>
      </c>
      <c r="I25" s="5"/>
      <c r="M25" t="s">
        <v>72</v>
      </c>
      <c r="N25" t="s">
        <v>73</v>
      </c>
      <c r="P25">
        <v>1</v>
      </c>
      <c r="Q25">
        <v>2</v>
      </c>
      <c r="R25">
        <f t="shared" si="1"/>
        <v>3</v>
      </c>
      <c r="S25" s="6">
        <f t="shared" si="0"/>
        <v>0.33333333333333331</v>
      </c>
    </row>
    <row r="26" spans="1:19" x14ac:dyDescent="0.4">
      <c r="A26">
        <v>22</v>
      </c>
      <c r="I26" s="5"/>
      <c r="M26" t="s">
        <v>72</v>
      </c>
      <c r="N26" t="s">
        <v>73</v>
      </c>
      <c r="P26">
        <v>1</v>
      </c>
      <c r="Q26">
        <v>2</v>
      </c>
      <c r="R26">
        <f t="shared" si="1"/>
        <v>3</v>
      </c>
      <c r="S26" s="6">
        <f t="shared" si="0"/>
        <v>0.33333333333333331</v>
      </c>
    </row>
    <row r="27" spans="1:19" x14ac:dyDescent="0.4">
      <c r="A27">
        <v>23</v>
      </c>
      <c r="I27" s="5"/>
      <c r="M27" t="s">
        <v>72</v>
      </c>
      <c r="N27" t="s">
        <v>73</v>
      </c>
      <c r="P27">
        <v>1</v>
      </c>
      <c r="Q27">
        <v>2</v>
      </c>
      <c r="R27">
        <f t="shared" si="1"/>
        <v>3</v>
      </c>
      <c r="S27" s="6">
        <f t="shared" si="0"/>
        <v>0.33333333333333331</v>
      </c>
    </row>
    <row r="28" spans="1:19" x14ac:dyDescent="0.4">
      <c r="A28">
        <v>24</v>
      </c>
      <c r="I28" s="5"/>
      <c r="M28" t="s">
        <v>72</v>
      </c>
      <c r="N28" t="s">
        <v>73</v>
      </c>
      <c r="P28">
        <v>1</v>
      </c>
      <c r="Q28">
        <v>1</v>
      </c>
      <c r="R28">
        <f t="shared" si="1"/>
        <v>2</v>
      </c>
      <c r="S28" s="6">
        <f t="shared" si="0"/>
        <v>0.5</v>
      </c>
    </row>
    <row r="29" spans="1:19" x14ac:dyDescent="0.4">
      <c r="A29">
        <v>25</v>
      </c>
      <c r="I29" s="5"/>
      <c r="M29" t="s">
        <v>72</v>
      </c>
      <c r="N29" t="s">
        <v>73</v>
      </c>
      <c r="P29">
        <v>3</v>
      </c>
      <c r="Q29">
        <v>3</v>
      </c>
      <c r="R29">
        <f t="shared" si="1"/>
        <v>6</v>
      </c>
      <c r="S29" s="6">
        <f t="shared" si="0"/>
        <v>0.5</v>
      </c>
    </row>
    <row r="30" spans="1:19" x14ac:dyDescent="0.4">
      <c r="A30">
        <v>26</v>
      </c>
      <c r="I30" s="5"/>
      <c r="M30" t="s">
        <v>93</v>
      </c>
      <c r="N30" t="s">
        <v>92</v>
      </c>
      <c r="R30" t="str">
        <f t="shared" si="1"/>
        <v/>
      </c>
      <c r="S30" s="6" t="str">
        <f t="shared" si="0"/>
        <v/>
      </c>
    </row>
    <row r="31" spans="1:19" ht="16.5" x14ac:dyDescent="0.3">
      <c r="A31">
        <v>27</v>
      </c>
      <c r="I31" s="5"/>
      <c r="R31" t="str">
        <f t="shared" si="1"/>
        <v/>
      </c>
      <c r="S31" s="6" t="str">
        <f t="shared" si="0"/>
        <v/>
      </c>
    </row>
    <row r="32" spans="1:19" ht="16.5" x14ac:dyDescent="0.3">
      <c r="A32">
        <v>28</v>
      </c>
      <c r="I32" s="5"/>
      <c r="R32" t="str">
        <f t="shared" si="1"/>
        <v/>
      </c>
      <c r="S32" s="6" t="str">
        <f t="shared" si="0"/>
        <v/>
      </c>
    </row>
    <row r="33" spans="1:19" ht="16.5" x14ac:dyDescent="0.3">
      <c r="A33">
        <v>29</v>
      </c>
      <c r="I33" s="5"/>
      <c r="R33" t="str">
        <f t="shared" si="1"/>
        <v/>
      </c>
      <c r="S33" s="6" t="str">
        <f t="shared" si="0"/>
        <v/>
      </c>
    </row>
    <row r="34" spans="1:19" ht="16.5" x14ac:dyDescent="0.3">
      <c r="A34">
        <v>30</v>
      </c>
      <c r="I34" s="5"/>
      <c r="R34" t="str">
        <f t="shared" si="1"/>
        <v/>
      </c>
      <c r="S34" s="6" t="str">
        <f t="shared" si="0"/>
        <v/>
      </c>
    </row>
    <row r="35" spans="1:19" ht="16.5" x14ac:dyDescent="0.3">
      <c r="A35">
        <v>31</v>
      </c>
      <c r="I35" s="5"/>
      <c r="R35" t="str">
        <f t="shared" si="1"/>
        <v/>
      </c>
      <c r="S35" s="6" t="str">
        <f t="shared" si="0"/>
        <v/>
      </c>
    </row>
    <row r="36" spans="1:19" ht="16.5" x14ac:dyDescent="0.3">
      <c r="A36">
        <v>32</v>
      </c>
      <c r="I36" s="5"/>
      <c r="R36" t="str">
        <f t="shared" si="1"/>
        <v/>
      </c>
      <c r="S36" s="6" t="str">
        <f t="shared" si="0"/>
        <v/>
      </c>
    </row>
    <row r="37" spans="1:19" ht="16.5" x14ac:dyDescent="0.3">
      <c r="A37">
        <v>33</v>
      </c>
      <c r="I37" s="5"/>
      <c r="R37" t="str">
        <f t="shared" si="1"/>
        <v/>
      </c>
      <c r="S37" s="6" t="str">
        <f t="shared" si="0"/>
        <v/>
      </c>
    </row>
    <row r="38" spans="1:19" ht="16.5" x14ac:dyDescent="0.3">
      <c r="A38">
        <v>34</v>
      </c>
      <c r="I38" s="5"/>
      <c r="R38" t="str">
        <f t="shared" si="1"/>
        <v/>
      </c>
      <c r="S38" s="6" t="str">
        <f t="shared" si="0"/>
        <v/>
      </c>
    </row>
    <row r="39" spans="1:19" ht="16.5" x14ac:dyDescent="0.3">
      <c r="A39">
        <v>35</v>
      </c>
      <c r="I39" s="5"/>
      <c r="R39" t="str">
        <f t="shared" si="1"/>
        <v/>
      </c>
      <c r="S39" s="6" t="str">
        <f t="shared" si="0"/>
        <v/>
      </c>
    </row>
    <row r="40" spans="1:19" x14ac:dyDescent="0.4">
      <c r="A40">
        <v>36</v>
      </c>
      <c r="I40" s="5"/>
      <c r="R40" t="str">
        <f t="shared" si="1"/>
        <v/>
      </c>
      <c r="S40" s="6" t="str">
        <f t="shared" si="0"/>
        <v/>
      </c>
    </row>
    <row r="41" spans="1:19" x14ac:dyDescent="0.4">
      <c r="A41">
        <v>37</v>
      </c>
      <c r="I41" s="5"/>
      <c r="R41" t="str">
        <f t="shared" si="1"/>
        <v/>
      </c>
      <c r="S41" s="6" t="str">
        <f t="shared" si="0"/>
        <v/>
      </c>
    </row>
    <row r="42" spans="1:19" x14ac:dyDescent="0.4">
      <c r="A42">
        <v>38</v>
      </c>
      <c r="I42" s="5"/>
      <c r="R42" t="str">
        <f t="shared" si="1"/>
        <v/>
      </c>
      <c r="S42" s="6" t="str">
        <f t="shared" si="0"/>
        <v/>
      </c>
    </row>
    <row r="43" spans="1:19" x14ac:dyDescent="0.4">
      <c r="A43">
        <v>39</v>
      </c>
      <c r="I43" s="5"/>
      <c r="R43" t="str">
        <f t="shared" si="1"/>
        <v/>
      </c>
      <c r="S43" s="6" t="str">
        <f t="shared" si="0"/>
        <v/>
      </c>
    </row>
    <row r="44" spans="1:19" x14ac:dyDescent="0.4">
      <c r="A44">
        <v>40</v>
      </c>
      <c r="I44" s="5"/>
      <c r="R44" t="str">
        <f t="shared" si="1"/>
        <v/>
      </c>
      <c r="S44" s="6" t="str">
        <f t="shared" si="0"/>
        <v/>
      </c>
    </row>
    <row r="45" spans="1:19" x14ac:dyDescent="0.4">
      <c r="A45">
        <v>41</v>
      </c>
      <c r="I45" s="5"/>
      <c r="R45" t="str">
        <f t="shared" si="1"/>
        <v/>
      </c>
      <c r="S45" s="6" t="str">
        <f t="shared" si="0"/>
        <v/>
      </c>
    </row>
    <row r="46" spans="1:19" x14ac:dyDescent="0.4">
      <c r="A46">
        <v>42</v>
      </c>
      <c r="I46" s="5"/>
      <c r="R46" t="str">
        <f t="shared" si="1"/>
        <v/>
      </c>
      <c r="S46" s="6" t="str">
        <f t="shared" si="0"/>
        <v/>
      </c>
    </row>
    <row r="47" spans="1:19" x14ac:dyDescent="0.4">
      <c r="A47">
        <v>43</v>
      </c>
      <c r="I47" s="5"/>
      <c r="R47" t="str">
        <f t="shared" si="1"/>
        <v/>
      </c>
      <c r="S47" s="6" t="str">
        <f t="shared" si="0"/>
        <v/>
      </c>
    </row>
    <row r="48" spans="1:19" x14ac:dyDescent="0.4">
      <c r="A48">
        <v>44</v>
      </c>
      <c r="I48" s="5"/>
      <c r="R48" t="str">
        <f t="shared" si="1"/>
        <v/>
      </c>
      <c r="S48" s="6" t="str">
        <f t="shared" si="0"/>
        <v/>
      </c>
    </row>
    <row r="49" spans="1:19" x14ac:dyDescent="0.4">
      <c r="A49">
        <v>45</v>
      </c>
      <c r="I49" s="5"/>
      <c r="R49" t="str">
        <f t="shared" si="1"/>
        <v/>
      </c>
      <c r="S49" s="6" t="str">
        <f t="shared" si="0"/>
        <v/>
      </c>
    </row>
    <row r="50" spans="1:19" x14ac:dyDescent="0.4">
      <c r="A50">
        <v>46</v>
      </c>
      <c r="I50" s="5"/>
      <c r="R50" t="str">
        <f t="shared" si="1"/>
        <v/>
      </c>
      <c r="S50" s="6" t="str">
        <f t="shared" si="0"/>
        <v/>
      </c>
    </row>
    <row r="51" spans="1:19" x14ac:dyDescent="0.4">
      <c r="A51">
        <v>47</v>
      </c>
      <c r="I51" s="5"/>
      <c r="R51" t="str">
        <f t="shared" si="1"/>
        <v/>
      </c>
      <c r="S51" s="6" t="str">
        <f t="shared" si="0"/>
        <v/>
      </c>
    </row>
    <row r="52" spans="1:19" x14ac:dyDescent="0.4">
      <c r="A52">
        <v>48</v>
      </c>
      <c r="I52" s="5"/>
      <c r="R52" t="str">
        <f t="shared" si="1"/>
        <v/>
      </c>
      <c r="S52" s="6" t="str">
        <f t="shared" si="0"/>
        <v/>
      </c>
    </row>
    <row r="53" spans="1:19" x14ac:dyDescent="0.4">
      <c r="A53">
        <v>49</v>
      </c>
      <c r="I53" s="5"/>
      <c r="R53" t="str">
        <f t="shared" si="1"/>
        <v/>
      </c>
      <c r="S53" s="6" t="str">
        <f t="shared" si="0"/>
        <v/>
      </c>
    </row>
    <row r="54" spans="1:19" x14ac:dyDescent="0.4">
      <c r="A54">
        <v>50</v>
      </c>
      <c r="I54" s="5"/>
      <c r="R54" t="str">
        <f t="shared" si="1"/>
        <v/>
      </c>
      <c r="S54" s="6" t="str">
        <f t="shared" si="0"/>
        <v/>
      </c>
    </row>
    <row r="55" spans="1:19" x14ac:dyDescent="0.4">
      <c r="A55">
        <v>51</v>
      </c>
      <c r="I55" s="5"/>
      <c r="R55" t="str">
        <f t="shared" si="1"/>
        <v/>
      </c>
      <c r="S55" s="6" t="str">
        <f t="shared" si="0"/>
        <v/>
      </c>
    </row>
    <row r="56" spans="1:19" x14ac:dyDescent="0.4">
      <c r="A56">
        <v>52</v>
      </c>
      <c r="I56" s="5"/>
      <c r="R56" t="str">
        <f t="shared" si="1"/>
        <v/>
      </c>
      <c r="S56" s="6" t="str">
        <f t="shared" si="0"/>
        <v/>
      </c>
    </row>
    <row r="57" spans="1:19" x14ac:dyDescent="0.4">
      <c r="A57">
        <v>53</v>
      </c>
      <c r="I57" s="5"/>
      <c r="R57" t="str">
        <f t="shared" si="1"/>
        <v/>
      </c>
      <c r="S57" s="6" t="str">
        <f t="shared" si="0"/>
        <v/>
      </c>
    </row>
    <row r="58" spans="1:19" x14ac:dyDescent="0.4">
      <c r="A58">
        <v>54</v>
      </c>
      <c r="I58" s="5"/>
      <c r="R58" t="str">
        <f t="shared" si="1"/>
        <v/>
      </c>
      <c r="S58" s="6" t="str">
        <f t="shared" si="0"/>
        <v/>
      </c>
    </row>
    <row r="59" spans="1:19" x14ac:dyDescent="0.4">
      <c r="A59">
        <v>55</v>
      </c>
      <c r="I59" s="5"/>
      <c r="R59" t="str">
        <f t="shared" si="1"/>
        <v/>
      </c>
      <c r="S59" s="6" t="str">
        <f t="shared" si="0"/>
        <v/>
      </c>
    </row>
    <row r="60" spans="1:19" x14ac:dyDescent="0.4">
      <c r="A60">
        <v>56</v>
      </c>
      <c r="I60" s="5"/>
      <c r="R60" t="str">
        <f t="shared" si="1"/>
        <v/>
      </c>
      <c r="S60" s="6" t="str">
        <f t="shared" si="0"/>
        <v/>
      </c>
    </row>
    <row r="61" spans="1:19" x14ac:dyDescent="0.4">
      <c r="A61">
        <v>57</v>
      </c>
      <c r="I61" s="5"/>
      <c r="R61" t="str">
        <f t="shared" si="1"/>
        <v/>
      </c>
      <c r="S61" s="6" t="str">
        <f t="shared" si="0"/>
        <v/>
      </c>
    </row>
    <row r="62" spans="1:19" x14ac:dyDescent="0.4">
      <c r="A62">
        <v>58</v>
      </c>
      <c r="I62" s="5"/>
      <c r="R62" t="str">
        <f t="shared" si="1"/>
        <v/>
      </c>
      <c r="S62" s="6" t="str">
        <f t="shared" si="0"/>
        <v/>
      </c>
    </row>
    <row r="63" spans="1:19" x14ac:dyDescent="0.4">
      <c r="A63">
        <v>59</v>
      </c>
      <c r="I63" s="5"/>
      <c r="R63" t="str">
        <f t="shared" si="1"/>
        <v/>
      </c>
      <c r="S63" s="6" t="str">
        <f t="shared" si="0"/>
        <v/>
      </c>
    </row>
    <row r="64" spans="1:19" x14ac:dyDescent="0.4">
      <c r="A64">
        <v>60</v>
      </c>
      <c r="I64" s="5"/>
      <c r="R64" t="str">
        <f t="shared" si="1"/>
        <v/>
      </c>
      <c r="S64" s="6" t="str">
        <f t="shared" si="0"/>
        <v/>
      </c>
    </row>
    <row r="65" spans="1:19" x14ac:dyDescent="0.4">
      <c r="A65">
        <v>61</v>
      </c>
      <c r="I65" s="5"/>
      <c r="R65" t="str">
        <f t="shared" si="1"/>
        <v/>
      </c>
      <c r="S65" s="6" t="str">
        <f t="shared" si="0"/>
        <v/>
      </c>
    </row>
    <row r="66" spans="1:19" x14ac:dyDescent="0.4">
      <c r="A66">
        <v>62</v>
      </c>
      <c r="I66" s="5"/>
      <c r="R66" t="str">
        <f t="shared" si="1"/>
        <v/>
      </c>
      <c r="S66" s="6" t="str">
        <f t="shared" si="0"/>
        <v/>
      </c>
    </row>
    <row r="67" spans="1:19" x14ac:dyDescent="0.4">
      <c r="A67">
        <v>63</v>
      </c>
      <c r="I67" s="5"/>
      <c r="R67" t="str">
        <f t="shared" si="1"/>
        <v/>
      </c>
      <c r="S67" s="6" t="str">
        <f t="shared" si="0"/>
        <v/>
      </c>
    </row>
    <row r="68" spans="1:19" x14ac:dyDescent="0.4">
      <c r="A68">
        <v>64</v>
      </c>
      <c r="I68" s="5"/>
      <c r="R68" t="str">
        <f t="shared" si="1"/>
        <v/>
      </c>
      <c r="S68" s="6" t="str">
        <f t="shared" si="0"/>
        <v/>
      </c>
    </row>
    <row r="69" spans="1:19" x14ac:dyDescent="0.4">
      <c r="A69">
        <v>65</v>
      </c>
      <c r="I69" s="5"/>
      <c r="R69" t="str">
        <f t="shared" si="1"/>
        <v/>
      </c>
      <c r="S69" s="6" t="str">
        <f t="shared" ref="S69:S104" si="2">IFERROR(P69/(Q69+P69),"")</f>
        <v/>
      </c>
    </row>
    <row r="70" spans="1:19" x14ac:dyDescent="0.4">
      <c r="A70">
        <v>66</v>
      </c>
      <c r="I70" s="5"/>
      <c r="R70" t="str">
        <f t="shared" ref="R70:R105" si="3">IFERROR(IF(P70+Q70=0,"",P70+Q70),"")</f>
        <v/>
      </c>
      <c r="S70" s="6" t="str">
        <f t="shared" si="2"/>
        <v/>
      </c>
    </row>
    <row r="71" spans="1:19" x14ac:dyDescent="0.4">
      <c r="A71">
        <v>67</v>
      </c>
      <c r="I71" s="5"/>
      <c r="R71" t="str">
        <f t="shared" si="3"/>
        <v/>
      </c>
      <c r="S71" s="6" t="str">
        <f t="shared" si="2"/>
        <v/>
      </c>
    </row>
    <row r="72" spans="1:19" x14ac:dyDescent="0.4">
      <c r="A72">
        <v>68</v>
      </c>
      <c r="I72" s="5"/>
      <c r="R72" t="str">
        <f t="shared" si="3"/>
        <v/>
      </c>
      <c r="S72" s="6" t="str">
        <f t="shared" si="2"/>
        <v/>
      </c>
    </row>
    <row r="73" spans="1:19" x14ac:dyDescent="0.4">
      <c r="A73">
        <v>69</v>
      </c>
      <c r="I73" s="5"/>
      <c r="R73" t="str">
        <f t="shared" si="3"/>
        <v/>
      </c>
      <c r="S73" s="6" t="str">
        <f t="shared" si="2"/>
        <v/>
      </c>
    </row>
    <row r="74" spans="1:19" x14ac:dyDescent="0.4">
      <c r="A74">
        <v>70</v>
      </c>
      <c r="I74" s="5"/>
      <c r="R74" t="str">
        <f t="shared" si="3"/>
        <v/>
      </c>
      <c r="S74" s="6" t="str">
        <f t="shared" si="2"/>
        <v/>
      </c>
    </row>
    <row r="75" spans="1:19" x14ac:dyDescent="0.4">
      <c r="A75">
        <v>71</v>
      </c>
      <c r="I75" s="5"/>
      <c r="R75" t="str">
        <f t="shared" si="3"/>
        <v/>
      </c>
      <c r="S75" s="6" t="str">
        <f t="shared" si="2"/>
        <v/>
      </c>
    </row>
    <row r="76" spans="1:19" x14ac:dyDescent="0.4">
      <c r="A76">
        <v>72</v>
      </c>
      <c r="I76" s="5"/>
      <c r="R76" t="str">
        <f t="shared" si="3"/>
        <v/>
      </c>
      <c r="S76" s="6" t="str">
        <f t="shared" si="2"/>
        <v/>
      </c>
    </row>
    <row r="77" spans="1:19" x14ac:dyDescent="0.4">
      <c r="A77">
        <v>73</v>
      </c>
      <c r="I77" s="5"/>
      <c r="R77" t="str">
        <f t="shared" si="3"/>
        <v/>
      </c>
      <c r="S77" s="6" t="str">
        <f t="shared" si="2"/>
        <v/>
      </c>
    </row>
    <row r="78" spans="1:19" x14ac:dyDescent="0.4">
      <c r="A78">
        <v>74</v>
      </c>
      <c r="I78" s="5"/>
      <c r="R78" t="str">
        <f t="shared" si="3"/>
        <v/>
      </c>
      <c r="S78" s="6" t="str">
        <f t="shared" si="2"/>
        <v/>
      </c>
    </row>
    <row r="79" spans="1:19" x14ac:dyDescent="0.4">
      <c r="A79">
        <v>75</v>
      </c>
      <c r="I79" s="5"/>
      <c r="R79" t="str">
        <f t="shared" si="3"/>
        <v/>
      </c>
      <c r="S79" s="6" t="str">
        <f t="shared" si="2"/>
        <v/>
      </c>
    </row>
    <row r="80" spans="1:19" x14ac:dyDescent="0.4">
      <c r="A80">
        <v>76</v>
      </c>
      <c r="I80" s="5"/>
      <c r="R80" t="str">
        <f t="shared" si="3"/>
        <v/>
      </c>
      <c r="S80" s="6" t="str">
        <f t="shared" si="2"/>
        <v/>
      </c>
    </row>
    <row r="81" spans="1:19" x14ac:dyDescent="0.4">
      <c r="A81">
        <v>77</v>
      </c>
      <c r="I81" s="5"/>
      <c r="R81" t="str">
        <f t="shared" si="3"/>
        <v/>
      </c>
      <c r="S81" s="6" t="str">
        <f t="shared" si="2"/>
        <v/>
      </c>
    </row>
    <row r="82" spans="1:19" x14ac:dyDescent="0.4">
      <c r="A82">
        <v>78</v>
      </c>
      <c r="I82" s="5"/>
      <c r="R82" t="str">
        <f t="shared" si="3"/>
        <v/>
      </c>
      <c r="S82" s="6" t="str">
        <f t="shared" si="2"/>
        <v/>
      </c>
    </row>
    <row r="83" spans="1:19" x14ac:dyDescent="0.4">
      <c r="A83">
        <v>79</v>
      </c>
      <c r="I83" s="5"/>
      <c r="R83" t="str">
        <f t="shared" si="3"/>
        <v/>
      </c>
      <c r="S83" s="6" t="str">
        <f t="shared" si="2"/>
        <v/>
      </c>
    </row>
    <row r="84" spans="1:19" x14ac:dyDescent="0.4">
      <c r="A84">
        <v>80</v>
      </c>
      <c r="I84" s="5"/>
      <c r="R84" t="str">
        <f t="shared" si="3"/>
        <v/>
      </c>
      <c r="S84" s="6" t="str">
        <f t="shared" si="2"/>
        <v/>
      </c>
    </row>
    <row r="85" spans="1:19" x14ac:dyDescent="0.4">
      <c r="A85">
        <v>81</v>
      </c>
      <c r="I85" s="5"/>
      <c r="R85" t="str">
        <f t="shared" si="3"/>
        <v/>
      </c>
      <c r="S85" s="6" t="str">
        <f t="shared" si="2"/>
        <v/>
      </c>
    </row>
    <row r="86" spans="1:19" x14ac:dyDescent="0.4">
      <c r="A86">
        <v>82</v>
      </c>
      <c r="I86" s="5"/>
      <c r="R86" t="str">
        <f t="shared" si="3"/>
        <v/>
      </c>
      <c r="S86" s="6" t="str">
        <f t="shared" si="2"/>
        <v/>
      </c>
    </row>
    <row r="87" spans="1:19" x14ac:dyDescent="0.4">
      <c r="A87">
        <v>83</v>
      </c>
      <c r="I87" s="5"/>
      <c r="R87" t="str">
        <f t="shared" si="3"/>
        <v/>
      </c>
      <c r="S87" s="6" t="str">
        <f t="shared" si="2"/>
        <v/>
      </c>
    </row>
    <row r="88" spans="1:19" x14ac:dyDescent="0.4">
      <c r="A88">
        <v>84</v>
      </c>
      <c r="I88" s="5"/>
      <c r="R88" t="str">
        <f t="shared" si="3"/>
        <v/>
      </c>
      <c r="S88" s="6" t="str">
        <f t="shared" si="2"/>
        <v/>
      </c>
    </row>
    <row r="89" spans="1:19" x14ac:dyDescent="0.4">
      <c r="A89">
        <v>85</v>
      </c>
      <c r="I89" s="5"/>
      <c r="R89" t="str">
        <f t="shared" si="3"/>
        <v/>
      </c>
      <c r="S89" s="6" t="str">
        <f t="shared" si="2"/>
        <v/>
      </c>
    </row>
    <row r="90" spans="1:19" x14ac:dyDescent="0.4">
      <c r="A90">
        <v>86</v>
      </c>
      <c r="I90" s="5"/>
      <c r="R90" t="str">
        <f t="shared" si="3"/>
        <v/>
      </c>
      <c r="S90" s="6" t="str">
        <f t="shared" si="2"/>
        <v/>
      </c>
    </row>
    <row r="91" spans="1:19" x14ac:dyDescent="0.4">
      <c r="A91">
        <v>87</v>
      </c>
      <c r="I91" s="5"/>
      <c r="R91" t="str">
        <f t="shared" si="3"/>
        <v/>
      </c>
      <c r="S91" s="6" t="str">
        <f t="shared" si="2"/>
        <v/>
      </c>
    </row>
    <row r="92" spans="1:19" x14ac:dyDescent="0.4">
      <c r="A92">
        <v>88</v>
      </c>
      <c r="I92" s="5"/>
      <c r="R92" t="str">
        <f t="shared" si="3"/>
        <v/>
      </c>
      <c r="S92" s="6" t="str">
        <f t="shared" si="2"/>
        <v/>
      </c>
    </row>
    <row r="93" spans="1:19" x14ac:dyDescent="0.4">
      <c r="A93">
        <v>89</v>
      </c>
      <c r="I93" s="5"/>
      <c r="R93" t="str">
        <f t="shared" si="3"/>
        <v/>
      </c>
      <c r="S93" s="6" t="str">
        <f t="shared" si="2"/>
        <v/>
      </c>
    </row>
    <row r="94" spans="1:19" x14ac:dyDescent="0.4">
      <c r="A94">
        <v>90</v>
      </c>
      <c r="I94" s="5"/>
      <c r="R94" t="str">
        <f t="shared" si="3"/>
        <v/>
      </c>
      <c r="S94" s="6" t="str">
        <f t="shared" si="2"/>
        <v/>
      </c>
    </row>
    <row r="95" spans="1:19" x14ac:dyDescent="0.4">
      <c r="A95">
        <v>91</v>
      </c>
      <c r="I95" s="5"/>
      <c r="R95" t="str">
        <f t="shared" si="3"/>
        <v/>
      </c>
      <c r="S95" s="6" t="str">
        <f t="shared" si="2"/>
        <v/>
      </c>
    </row>
    <row r="96" spans="1:19" x14ac:dyDescent="0.4">
      <c r="A96">
        <v>92</v>
      </c>
      <c r="I96" s="5"/>
      <c r="R96" t="str">
        <f t="shared" si="3"/>
        <v/>
      </c>
      <c r="S96" s="6" t="str">
        <f t="shared" si="2"/>
        <v/>
      </c>
    </row>
    <row r="97" spans="1:19" x14ac:dyDescent="0.4">
      <c r="A97">
        <v>93</v>
      </c>
      <c r="I97" s="5"/>
      <c r="R97" t="str">
        <f t="shared" si="3"/>
        <v/>
      </c>
      <c r="S97" s="6" t="str">
        <f t="shared" si="2"/>
        <v/>
      </c>
    </row>
    <row r="98" spans="1:19" x14ac:dyDescent="0.4">
      <c r="A98">
        <v>94</v>
      </c>
      <c r="I98" s="5"/>
      <c r="R98" t="str">
        <f t="shared" si="3"/>
        <v/>
      </c>
      <c r="S98" s="6" t="str">
        <f t="shared" si="2"/>
        <v/>
      </c>
    </row>
    <row r="99" spans="1:19" x14ac:dyDescent="0.4">
      <c r="A99">
        <v>95</v>
      </c>
      <c r="I99" s="5"/>
      <c r="R99" t="str">
        <f t="shared" si="3"/>
        <v/>
      </c>
      <c r="S99" s="6" t="str">
        <f t="shared" si="2"/>
        <v/>
      </c>
    </row>
    <row r="100" spans="1:19" x14ac:dyDescent="0.4">
      <c r="A100">
        <v>96</v>
      </c>
      <c r="I100" s="5"/>
      <c r="R100" t="str">
        <f t="shared" si="3"/>
        <v/>
      </c>
      <c r="S100" s="6" t="str">
        <f t="shared" si="2"/>
        <v/>
      </c>
    </row>
    <row r="101" spans="1:19" x14ac:dyDescent="0.4">
      <c r="A101">
        <v>97</v>
      </c>
      <c r="I101" s="5"/>
      <c r="R101" t="str">
        <f t="shared" si="3"/>
        <v/>
      </c>
      <c r="S101" s="6" t="str">
        <f t="shared" si="2"/>
        <v/>
      </c>
    </row>
    <row r="102" spans="1:19" x14ac:dyDescent="0.4">
      <c r="A102">
        <v>98</v>
      </c>
      <c r="I102" s="5"/>
      <c r="R102" t="str">
        <f t="shared" si="3"/>
        <v/>
      </c>
      <c r="S102" s="6" t="str">
        <f t="shared" si="2"/>
        <v/>
      </c>
    </row>
    <row r="103" spans="1:19" x14ac:dyDescent="0.4">
      <c r="A103">
        <v>99</v>
      </c>
      <c r="I103" s="5"/>
      <c r="R103" t="str">
        <f t="shared" si="3"/>
        <v/>
      </c>
      <c r="S103" s="6" t="str">
        <f t="shared" si="2"/>
        <v/>
      </c>
    </row>
    <row r="104" spans="1:19" x14ac:dyDescent="0.4">
      <c r="A104">
        <v>100</v>
      </c>
      <c r="I104" s="5"/>
      <c r="R104" t="str">
        <f t="shared" si="3"/>
        <v/>
      </c>
      <c r="S104" s="6" t="str">
        <f t="shared" si="2"/>
        <v/>
      </c>
    </row>
    <row r="105" spans="1:19" x14ac:dyDescent="0.4">
      <c r="A105" t="s">
        <v>0</v>
      </c>
      <c r="D105" t="s">
        <v>0</v>
      </c>
      <c r="F105" t="s">
        <v>0</v>
      </c>
      <c r="H105" t="s">
        <v>0</v>
      </c>
      <c r="I105" t="s">
        <v>0</v>
      </c>
      <c r="J105" t="s">
        <v>0</v>
      </c>
      <c r="K105" t="s">
        <v>0</v>
      </c>
      <c r="L105" t="s">
        <v>0</v>
      </c>
      <c r="M105" t="s">
        <v>0</v>
      </c>
      <c r="N105" t="s">
        <v>0</v>
      </c>
      <c r="O105" t="s">
        <v>0</v>
      </c>
      <c r="P105" t="s">
        <v>0</v>
      </c>
      <c r="Q105" t="s">
        <v>0</v>
      </c>
      <c r="R105" t="str">
        <f t="shared" si="3"/>
        <v/>
      </c>
      <c r="S105" s="6" t="s">
        <v>0</v>
      </c>
    </row>
    <row r="106" spans="1:19" x14ac:dyDescent="0.4">
      <c r="S106" s="6"/>
    </row>
    <row r="107" spans="1:19" x14ac:dyDescent="0.4">
      <c r="S107" s="6"/>
    </row>
    <row r="108" spans="1:19" x14ac:dyDescent="0.4">
      <c r="S108" s="6"/>
    </row>
    <row r="109" spans="1:19" x14ac:dyDescent="0.4">
      <c r="S109" s="6"/>
    </row>
    <row r="110" spans="1:19" x14ac:dyDescent="0.4">
      <c r="S110" s="6"/>
    </row>
    <row r="111" spans="1:19" x14ac:dyDescent="0.4">
      <c r="S111" s="6"/>
    </row>
    <row r="112" spans="1:19" x14ac:dyDescent="0.4">
      <c r="S112" s="6"/>
    </row>
    <row r="113" spans="19:19" x14ac:dyDescent="0.4">
      <c r="S113" s="6"/>
    </row>
    <row r="114" spans="19:19" x14ac:dyDescent="0.4">
      <c r="S114" s="6"/>
    </row>
    <row r="115" spans="19:19" x14ac:dyDescent="0.4">
      <c r="S115" s="6"/>
    </row>
    <row r="116" spans="19:19" x14ac:dyDescent="0.4">
      <c r="S116" s="6"/>
    </row>
    <row r="117" spans="19:19" x14ac:dyDescent="0.4">
      <c r="S117" s="6"/>
    </row>
    <row r="118" spans="19:19" x14ac:dyDescent="0.4">
      <c r="S118" s="6"/>
    </row>
    <row r="119" spans="19:19" x14ac:dyDescent="0.4">
      <c r="S119" s="6"/>
    </row>
    <row r="120" spans="19:19" x14ac:dyDescent="0.4">
      <c r="S120" s="6"/>
    </row>
    <row r="121" spans="19:19" x14ac:dyDescent="0.4">
      <c r="S121" s="6"/>
    </row>
    <row r="122" spans="19:19" x14ac:dyDescent="0.4">
      <c r="S122" s="6"/>
    </row>
    <row r="123" spans="19:19" x14ac:dyDescent="0.4">
      <c r="S123" s="6"/>
    </row>
    <row r="124" spans="19:19" x14ac:dyDescent="0.4">
      <c r="S124" s="6"/>
    </row>
    <row r="125" spans="19:19" x14ac:dyDescent="0.4">
      <c r="S125" s="6"/>
    </row>
    <row r="126" spans="19:19" x14ac:dyDescent="0.4">
      <c r="S126" s="6"/>
    </row>
    <row r="127" spans="19:19" x14ac:dyDescent="0.4">
      <c r="S127" s="6"/>
    </row>
    <row r="128" spans="19:19" x14ac:dyDescent="0.4">
      <c r="S128" s="6"/>
    </row>
    <row r="129" spans="19:19" x14ac:dyDescent="0.4">
      <c r="S129" s="6"/>
    </row>
    <row r="130" spans="19:19" x14ac:dyDescent="0.4">
      <c r="S130" s="6"/>
    </row>
    <row r="131" spans="19:19" x14ac:dyDescent="0.4">
      <c r="S131" s="6"/>
    </row>
    <row r="132" spans="19:19" x14ac:dyDescent="0.4">
      <c r="S132" s="6"/>
    </row>
    <row r="133" spans="19:19" x14ac:dyDescent="0.4">
      <c r="S133" s="6"/>
    </row>
    <row r="134" spans="19:19" x14ac:dyDescent="0.4">
      <c r="S134" s="6"/>
    </row>
    <row r="135" spans="19:19" x14ac:dyDescent="0.4">
      <c r="S135" s="6"/>
    </row>
    <row r="136" spans="19:19" x14ac:dyDescent="0.4">
      <c r="S136" s="6"/>
    </row>
    <row r="137" spans="19:19" x14ac:dyDescent="0.4">
      <c r="S137" s="6"/>
    </row>
    <row r="138" spans="19:19" x14ac:dyDescent="0.4">
      <c r="S138" s="6"/>
    </row>
    <row r="139" spans="19:19" x14ac:dyDescent="0.4">
      <c r="S139" s="6"/>
    </row>
    <row r="140" spans="19:19" x14ac:dyDescent="0.4">
      <c r="S140" s="6"/>
    </row>
    <row r="141" spans="19:19" x14ac:dyDescent="0.4">
      <c r="S141" s="6"/>
    </row>
    <row r="142" spans="19:19" x14ac:dyDescent="0.4">
      <c r="S142" s="6"/>
    </row>
    <row r="143" spans="19:19" x14ac:dyDescent="0.4">
      <c r="S143" s="6"/>
    </row>
    <row r="144" spans="19:19" x14ac:dyDescent="0.4">
      <c r="S144" s="6"/>
    </row>
    <row r="145" spans="19:19" x14ac:dyDescent="0.4">
      <c r="S145" s="6"/>
    </row>
    <row r="146" spans="19:19" x14ac:dyDescent="0.4">
      <c r="S146" s="6"/>
    </row>
    <row r="147" spans="19:19" x14ac:dyDescent="0.4">
      <c r="S147" s="6"/>
    </row>
    <row r="148" spans="19:19" x14ac:dyDescent="0.4">
      <c r="S148" s="6"/>
    </row>
    <row r="149" spans="19:19" x14ac:dyDescent="0.4">
      <c r="S149" s="6"/>
    </row>
    <row r="150" spans="19:19" x14ac:dyDescent="0.4">
      <c r="S150" s="6"/>
    </row>
    <row r="151" spans="19:19" x14ac:dyDescent="0.4">
      <c r="S151" s="6"/>
    </row>
    <row r="152" spans="19:19" x14ac:dyDescent="0.4">
      <c r="S152" s="6"/>
    </row>
    <row r="153" spans="19:19" x14ac:dyDescent="0.4">
      <c r="S153" s="6"/>
    </row>
    <row r="154" spans="19:19" x14ac:dyDescent="0.4">
      <c r="S154" s="6"/>
    </row>
    <row r="155" spans="19:19" x14ac:dyDescent="0.4">
      <c r="S155" s="6"/>
    </row>
    <row r="156" spans="19:19" x14ac:dyDescent="0.4">
      <c r="S156" s="6"/>
    </row>
    <row r="157" spans="19:19" x14ac:dyDescent="0.4">
      <c r="S157" s="6"/>
    </row>
    <row r="158" spans="19:19" x14ac:dyDescent="0.4">
      <c r="S158" s="6"/>
    </row>
    <row r="159" spans="19:19" x14ac:dyDescent="0.4">
      <c r="S159" s="6"/>
    </row>
    <row r="160" spans="19:19" x14ac:dyDescent="0.4">
      <c r="S160" s="6"/>
    </row>
    <row r="161" spans="19:19" x14ac:dyDescent="0.4">
      <c r="S161" s="6"/>
    </row>
    <row r="162" spans="19:19" x14ac:dyDescent="0.4">
      <c r="S162" s="6"/>
    </row>
    <row r="163" spans="19:19" x14ac:dyDescent="0.4">
      <c r="S163" s="6"/>
    </row>
    <row r="164" spans="19:19" x14ac:dyDescent="0.4">
      <c r="S164" s="6"/>
    </row>
    <row r="165" spans="19:19" x14ac:dyDescent="0.4">
      <c r="S165" s="6"/>
    </row>
    <row r="166" spans="19:19" x14ac:dyDescent="0.4">
      <c r="S166" s="6"/>
    </row>
    <row r="167" spans="19:19" x14ac:dyDescent="0.4">
      <c r="S167" s="6"/>
    </row>
    <row r="168" spans="19:19" x14ac:dyDescent="0.4">
      <c r="S168" s="6"/>
    </row>
    <row r="169" spans="19:19" x14ac:dyDescent="0.4">
      <c r="S169" s="6"/>
    </row>
    <row r="170" spans="19:19" x14ac:dyDescent="0.4">
      <c r="S170" s="6"/>
    </row>
    <row r="171" spans="19:19" x14ac:dyDescent="0.4">
      <c r="S171" s="6"/>
    </row>
    <row r="172" spans="19:19" x14ac:dyDescent="0.4">
      <c r="S172" s="6"/>
    </row>
    <row r="173" spans="19:19" x14ac:dyDescent="0.4">
      <c r="S173" s="6"/>
    </row>
    <row r="174" spans="19:19" x14ac:dyDescent="0.4">
      <c r="S174" s="6"/>
    </row>
    <row r="175" spans="19:19" x14ac:dyDescent="0.4">
      <c r="S175" s="6"/>
    </row>
    <row r="176" spans="19:19" x14ac:dyDescent="0.4">
      <c r="S176" s="6"/>
    </row>
    <row r="177" spans="19:19" x14ac:dyDescent="0.4">
      <c r="S177" s="6"/>
    </row>
    <row r="178" spans="19:19" x14ac:dyDescent="0.4">
      <c r="S178" s="6"/>
    </row>
    <row r="179" spans="19:19" x14ac:dyDescent="0.4">
      <c r="S179" s="6"/>
    </row>
    <row r="180" spans="19:19" x14ac:dyDescent="0.4">
      <c r="S180" s="6"/>
    </row>
    <row r="181" spans="19:19" x14ac:dyDescent="0.4">
      <c r="S181" s="6"/>
    </row>
    <row r="182" spans="19:19" x14ac:dyDescent="0.4">
      <c r="S182" s="6"/>
    </row>
    <row r="183" spans="19:19" x14ac:dyDescent="0.4">
      <c r="S183" s="6"/>
    </row>
    <row r="184" spans="19:19" x14ac:dyDescent="0.4">
      <c r="S184" s="6"/>
    </row>
    <row r="185" spans="19:19" x14ac:dyDescent="0.4">
      <c r="S185" s="6"/>
    </row>
    <row r="186" spans="19:19" x14ac:dyDescent="0.4">
      <c r="S186" s="6"/>
    </row>
    <row r="187" spans="19:19" x14ac:dyDescent="0.4">
      <c r="S187" s="6"/>
    </row>
    <row r="188" spans="19:19" x14ac:dyDescent="0.4">
      <c r="S188" s="6"/>
    </row>
    <row r="189" spans="19:19" x14ac:dyDescent="0.4">
      <c r="S189" s="6"/>
    </row>
    <row r="190" spans="19:19" x14ac:dyDescent="0.4">
      <c r="S190" s="6"/>
    </row>
    <row r="191" spans="19:19" x14ac:dyDescent="0.4">
      <c r="S191" s="6"/>
    </row>
    <row r="192" spans="19:19" x14ac:dyDescent="0.4">
      <c r="S192" s="6"/>
    </row>
    <row r="193" spans="19:19" x14ac:dyDescent="0.4">
      <c r="S193" s="6"/>
    </row>
    <row r="194" spans="19:19" x14ac:dyDescent="0.4">
      <c r="S194" s="6"/>
    </row>
    <row r="195" spans="19:19" x14ac:dyDescent="0.4">
      <c r="S195" s="6"/>
    </row>
    <row r="196" spans="19:19" x14ac:dyDescent="0.4">
      <c r="S196" s="6"/>
    </row>
    <row r="197" spans="19:19" x14ac:dyDescent="0.4">
      <c r="S197" s="6"/>
    </row>
    <row r="198" spans="19:19" x14ac:dyDescent="0.4">
      <c r="S198" s="6"/>
    </row>
    <row r="199" spans="19:19" x14ac:dyDescent="0.4">
      <c r="S199" s="6"/>
    </row>
    <row r="200" spans="19:19" x14ac:dyDescent="0.4">
      <c r="S200" s="6"/>
    </row>
    <row r="201" spans="19:19" x14ac:dyDescent="0.4">
      <c r="S201" s="6"/>
    </row>
    <row r="202" spans="19:19" x14ac:dyDescent="0.4">
      <c r="S202" s="6"/>
    </row>
    <row r="203" spans="19:19" x14ac:dyDescent="0.4">
      <c r="S203" s="6"/>
    </row>
    <row r="204" spans="19:19" x14ac:dyDescent="0.4">
      <c r="S204" s="6"/>
    </row>
    <row r="205" spans="19:19" x14ac:dyDescent="0.4">
      <c r="S205" s="6"/>
    </row>
    <row r="206" spans="19:19" x14ac:dyDescent="0.4">
      <c r="S206" s="6"/>
    </row>
    <row r="207" spans="19:19" x14ac:dyDescent="0.4">
      <c r="S207" s="6"/>
    </row>
    <row r="208" spans="19:19" x14ac:dyDescent="0.4">
      <c r="S208" s="6"/>
    </row>
    <row r="209" spans="19:19" x14ac:dyDescent="0.4">
      <c r="S209" s="6"/>
    </row>
    <row r="210" spans="19:19" x14ac:dyDescent="0.4">
      <c r="S210" s="6"/>
    </row>
    <row r="211" spans="19:19" x14ac:dyDescent="0.4">
      <c r="S211" s="6"/>
    </row>
    <row r="212" spans="19:19" x14ac:dyDescent="0.4">
      <c r="S212" s="6"/>
    </row>
    <row r="213" spans="19:19" x14ac:dyDescent="0.4">
      <c r="S213" s="6"/>
    </row>
    <row r="214" spans="19:19" x14ac:dyDescent="0.4">
      <c r="S214" s="6"/>
    </row>
    <row r="215" spans="19:19" x14ac:dyDescent="0.4">
      <c r="S215" s="6"/>
    </row>
    <row r="216" spans="19:19" x14ac:dyDescent="0.4">
      <c r="S216" s="6"/>
    </row>
    <row r="217" spans="19:19" x14ac:dyDescent="0.4">
      <c r="S217" s="6"/>
    </row>
    <row r="218" spans="19:19" x14ac:dyDescent="0.4">
      <c r="S218" s="6"/>
    </row>
    <row r="219" spans="19:19" x14ac:dyDescent="0.4">
      <c r="S219" s="6"/>
    </row>
    <row r="220" spans="19:19" x14ac:dyDescent="0.4">
      <c r="S220" s="6"/>
    </row>
    <row r="221" spans="19:19" x14ac:dyDescent="0.4">
      <c r="S221" s="6"/>
    </row>
    <row r="222" spans="19:19" x14ac:dyDescent="0.4">
      <c r="S222" s="6"/>
    </row>
    <row r="223" spans="19:19" x14ac:dyDescent="0.4">
      <c r="S223" s="6"/>
    </row>
    <row r="224" spans="19:19" x14ac:dyDescent="0.4">
      <c r="S224" s="6"/>
    </row>
    <row r="225" spans="19:19" x14ac:dyDescent="0.4">
      <c r="S225" s="6"/>
    </row>
    <row r="226" spans="19:19" x14ac:dyDescent="0.4">
      <c r="S226" s="6"/>
    </row>
    <row r="227" spans="19:19" x14ac:dyDescent="0.4">
      <c r="S227" s="6"/>
    </row>
    <row r="228" spans="19:19" x14ac:dyDescent="0.4">
      <c r="S228" s="6"/>
    </row>
    <row r="229" spans="19:19" x14ac:dyDescent="0.4">
      <c r="S229" s="6"/>
    </row>
    <row r="230" spans="19:19" x14ac:dyDescent="0.4">
      <c r="S230" s="6"/>
    </row>
    <row r="231" spans="19:19" x14ac:dyDescent="0.4">
      <c r="S231" s="6"/>
    </row>
    <row r="232" spans="19:19" x14ac:dyDescent="0.4">
      <c r="S232" s="6"/>
    </row>
    <row r="233" spans="19:19" x14ac:dyDescent="0.4">
      <c r="S233" s="6"/>
    </row>
    <row r="234" spans="19:19" x14ac:dyDescent="0.4">
      <c r="S234" s="6"/>
    </row>
    <row r="235" spans="19:19" x14ac:dyDescent="0.4">
      <c r="S235" s="6"/>
    </row>
    <row r="236" spans="19:19" x14ac:dyDescent="0.4">
      <c r="S236" s="6"/>
    </row>
    <row r="237" spans="19:19" x14ac:dyDescent="0.4">
      <c r="S237" s="6"/>
    </row>
    <row r="238" spans="19:19" x14ac:dyDescent="0.4">
      <c r="S238" s="6"/>
    </row>
    <row r="239" spans="19:19" x14ac:dyDescent="0.4">
      <c r="S239" s="6"/>
    </row>
    <row r="240" spans="19:19" x14ac:dyDescent="0.4">
      <c r="S240" s="6"/>
    </row>
    <row r="241" spans="19:19" x14ac:dyDescent="0.4">
      <c r="S241" s="6"/>
    </row>
    <row r="242" spans="19:19" x14ac:dyDescent="0.4">
      <c r="S242" s="6"/>
    </row>
    <row r="243" spans="19:19" x14ac:dyDescent="0.4">
      <c r="S243" s="6"/>
    </row>
    <row r="244" spans="19:19" x14ac:dyDescent="0.4">
      <c r="S244" s="6"/>
    </row>
    <row r="245" spans="19:19" x14ac:dyDescent="0.4">
      <c r="S245" s="6"/>
    </row>
    <row r="246" spans="19:19" x14ac:dyDescent="0.4">
      <c r="S246" s="6"/>
    </row>
    <row r="247" spans="19:19" x14ac:dyDescent="0.4">
      <c r="S247" s="6"/>
    </row>
    <row r="248" spans="19:19" x14ac:dyDescent="0.4">
      <c r="S248" s="6"/>
    </row>
    <row r="249" spans="19:19" x14ac:dyDescent="0.4">
      <c r="S249" s="6"/>
    </row>
    <row r="250" spans="19:19" x14ac:dyDescent="0.4">
      <c r="S250" s="6"/>
    </row>
    <row r="251" spans="19:19" x14ac:dyDescent="0.4">
      <c r="S251" s="6"/>
    </row>
    <row r="252" spans="19:19" x14ac:dyDescent="0.4">
      <c r="S252" s="6"/>
    </row>
    <row r="253" spans="19:19" x14ac:dyDescent="0.4">
      <c r="S253" s="6"/>
    </row>
    <row r="254" spans="19:19" x14ac:dyDescent="0.4">
      <c r="S254" s="6"/>
    </row>
    <row r="255" spans="19:19" x14ac:dyDescent="0.4">
      <c r="S255" s="6"/>
    </row>
    <row r="256" spans="19:19" x14ac:dyDescent="0.4">
      <c r="S256" s="6"/>
    </row>
    <row r="257" spans="19:19" x14ac:dyDescent="0.4">
      <c r="S257" s="6"/>
    </row>
    <row r="258" spans="19:19" x14ac:dyDescent="0.4">
      <c r="S258" s="6"/>
    </row>
    <row r="259" spans="19:19" x14ac:dyDescent="0.4">
      <c r="S259" s="6"/>
    </row>
    <row r="260" spans="19:19" x14ac:dyDescent="0.4">
      <c r="S260" s="6"/>
    </row>
    <row r="261" spans="19:19" x14ac:dyDescent="0.4">
      <c r="S261" s="6"/>
    </row>
    <row r="262" spans="19:19" x14ac:dyDescent="0.4">
      <c r="S262" s="6"/>
    </row>
    <row r="263" spans="19:19" x14ac:dyDescent="0.4">
      <c r="S263" s="6"/>
    </row>
    <row r="264" spans="19:19" x14ac:dyDescent="0.4">
      <c r="S264" s="6"/>
    </row>
    <row r="265" spans="19:19" x14ac:dyDescent="0.4">
      <c r="S265" s="6"/>
    </row>
    <row r="266" spans="19:19" x14ac:dyDescent="0.4">
      <c r="S266" s="6"/>
    </row>
    <row r="267" spans="19:19" x14ac:dyDescent="0.4">
      <c r="S267" s="6"/>
    </row>
    <row r="268" spans="19:19" x14ac:dyDescent="0.4">
      <c r="S268" s="6"/>
    </row>
    <row r="269" spans="19:19" x14ac:dyDescent="0.4">
      <c r="S269" s="6"/>
    </row>
    <row r="270" spans="19:19" x14ac:dyDescent="0.4">
      <c r="S270" s="6"/>
    </row>
    <row r="271" spans="19:19" x14ac:dyDescent="0.4">
      <c r="S271" s="6"/>
    </row>
    <row r="272" spans="19:19" x14ac:dyDescent="0.4">
      <c r="S272" s="6"/>
    </row>
    <row r="273" spans="19:19" x14ac:dyDescent="0.4">
      <c r="S273" s="6"/>
    </row>
    <row r="274" spans="19:19" x14ac:dyDescent="0.4">
      <c r="S274" s="6"/>
    </row>
    <row r="275" spans="19:19" x14ac:dyDescent="0.4">
      <c r="S275" s="6"/>
    </row>
    <row r="276" spans="19:19" x14ac:dyDescent="0.4">
      <c r="S276" s="6"/>
    </row>
    <row r="277" spans="19:19" x14ac:dyDescent="0.4">
      <c r="S277" s="6"/>
    </row>
    <row r="278" spans="19:19" x14ac:dyDescent="0.4">
      <c r="S278" s="6"/>
    </row>
    <row r="279" spans="19:19" x14ac:dyDescent="0.4">
      <c r="S279" s="6"/>
    </row>
    <row r="280" spans="19:19" x14ac:dyDescent="0.4">
      <c r="S280" s="6"/>
    </row>
    <row r="281" spans="19:19" x14ac:dyDescent="0.4">
      <c r="S281" s="6"/>
    </row>
    <row r="282" spans="19:19" x14ac:dyDescent="0.4">
      <c r="S282" s="6"/>
    </row>
    <row r="283" spans="19:19" x14ac:dyDescent="0.4">
      <c r="S283" s="6"/>
    </row>
    <row r="284" spans="19:19" x14ac:dyDescent="0.4">
      <c r="S284" s="6"/>
    </row>
    <row r="285" spans="19:19" x14ac:dyDescent="0.4">
      <c r="S285" s="6"/>
    </row>
    <row r="286" spans="19:19" x14ac:dyDescent="0.4">
      <c r="S286" s="6"/>
    </row>
    <row r="287" spans="19:19" x14ac:dyDescent="0.4">
      <c r="S287" s="6"/>
    </row>
    <row r="288" spans="19:19" x14ac:dyDescent="0.4">
      <c r="S288" s="6"/>
    </row>
    <row r="289" spans="19:19" x14ac:dyDescent="0.4">
      <c r="S289" s="6"/>
    </row>
    <row r="290" spans="19:19" x14ac:dyDescent="0.4">
      <c r="S290" s="6"/>
    </row>
    <row r="291" spans="19:19" x14ac:dyDescent="0.4">
      <c r="S291" s="6"/>
    </row>
    <row r="292" spans="19:19" x14ac:dyDescent="0.4">
      <c r="S292" s="6"/>
    </row>
    <row r="293" spans="19:19" x14ac:dyDescent="0.4">
      <c r="S293" s="6"/>
    </row>
    <row r="294" spans="19:19" x14ac:dyDescent="0.4">
      <c r="S294" s="6"/>
    </row>
    <row r="295" spans="19:19" x14ac:dyDescent="0.4">
      <c r="S295" s="6"/>
    </row>
    <row r="296" spans="19:19" x14ac:dyDescent="0.4">
      <c r="S296" s="6"/>
    </row>
    <row r="297" spans="19:19" x14ac:dyDescent="0.4">
      <c r="S297" s="6"/>
    </row>
    <row r="298" spans="19:19" x14ac:dyDescent="0.4">
      <c r="S298" s="6"/>
    </row>
    <row r="299" spans="19:19" x14ac:dyDescent="0.4">
      <c r="S299" s="6"/>
    </row>
    <row r="300" spans="19:19" x14ac:dyDescent="0.4">
      <c r="S300" s="6"/>
    </row>
    <row r="301" spans="19:19" x14ac:dyDescent="0.4">
      <c r="S301" s="6"/>
    </row>
    <row r="302" spans="19:19" x14ac:dyDescent="0.4">
      <c r="S302" s="6"/>
    </row>
    <row r="303" spans="19:19" x14ac:dyDescent="0.4">
      <c r="S303" s="6"/>
    </row>
    <row r="304" spans="19:19" x14ac:dyDescent="0.4">
      <c r="S304" s="6"/>
    </row>
    <row r="305" spans="19:19" x14ac:dyDescent="0.4">
      <c r="S305" s="6"/>
    </row>
    <row r="306" spans="19:19" x14ac:dyDescent="0.4">
      <c r="S306" s="6"/>
    </row>
    <row r="307" spans="19:19" x14ac:dyDescent="0.4">
      <c r="S307" s="6"/>
    </row>
    <row r="308" spans="19:19" x14ac:dyDescent="0.4">
      <c r="S308" s="6"/>
    </row>
    <row r="309" spans="19:19" x14ac:dyDescent="0.4">
      <c r="S309" s="6"/>
    </row>
    <row r="310" spans="19:19" x14ac:dyDescent="0.4">
      <c r="S310" s="6"/>
    </row>
    <row r="311" spans="19:19" x14ac:dyDescent="0.4">
      <c r="S311" s="6"/>
    </row>
    <row r="312" spans="19:19" x14ac:dyDescent="0.4">
      <c r="S312" s="6"/>
    </row>
    <row r="313" spans="19:19" x14ac:dyDescent="0.4">
      <c r="S313" s="6"/>
    </row>
    <row r="314" spans="19:19" x14ac:dyDescent="0.4">
      <c r="S314" s="6"/>
    </row>
    <row r="315" spans="19:19" x14ac:dyDescent="0.4">
      <c r="S315" s="6"/>
    </row>
    <row r="316" spans="19:19" x14ac:dyDescent="0.4">
      <c r="S316" s="6"/>
    </row>
    <row r="317" spans="19:19" x14ac:dyDescent="0.4">
      <c r="S317" s="6"/>
    </row>
    <row r="318" spans="19:19" x14ac:dyDescent="0.4">
      <c r="S318" s="6"/>
    </row>
    <row r="319" spans="19:19" x14ac:dyDescent="0.4">
      <c r="S319" s="6"/>
    </row>
    <row r="320" spans="19:19" x14ac:dyDescent="0.4">
      <c r="S320" s="6"/>
    </row>
    <row r="321" spans="19:19" x14ac:dyDescent="0.4">
      <c r="S321" s="6"/>
    </row>
    <row r="322" spans="19:19" x14ac:dyDescent="0.4">
      <c r="S322" s="6"/>
    </row>
    <row r="323" spans="19:19" x14ac:dyDescent="0.4">
      <c r="S323" s="6"/>
    </row>
    <row r="324" spans="19:19" x14ac:dyDescent="0.4">
      <c r="S324" s="6"/>
    </row>
    <row r="325" spans="19:19" x14ac:dyDescent="0.4">
      <c r="S325" s="6"/>
    </row>
    <row r="326" spans="19:19" x14ac:dyDescent="0.4">
      <c r="S326" s="6"/>
    </row>
    <row r="327" spans="19:19" x14ac:dyDescent="0.4">
      <c r="S327" s="6"/>
    </row>
    <row r="328" spans="19:19" x14ac:dyDescent="0.4">
      <c r="S328" s="6"/>
    </row>
    <row r="329" spans="19:19" x14ac:dyDescent="0.4">
      <c r="S329" s="6"/>
    </row>
    <row r="330" spans="19:19" x14ac:dyDescent="0.4">
      <c r="S330" s="6"/>
    </row>
    <row r="331" spans="19:19" x14ac:dyDescent="0.4">
      <c r="S331" s="6"/>
    </row>
    <row r="332" spans="19:19" x14ac:dyDescent="0.4">
      <c r="S332" s="6"/>
    </row>
    <row r="333" spans="19:19" x14ac:dyDescent="0.4">
      <c r="S333" s="6"/>
    </row>
    <row r="334" spans="19:19" x14ac:dyDescent="0.4">
      <c r="S334" s="6"/>
    </row>
    <row r="335" spans="19:19" x14ac:dyDescent="0.4">
      <c r="S335" s="6"/>
    </row>
    <row r="336" spans="19:19" x14ac:dyDescent="0.4">
      <c r="S336" s="6"/>
    </row>
    <row r="337" spans="19:19" x14ac:dyDescent="0.4">
      <c r="S337" s="6"/>
    </row>
    <row r="338" spans="19:19" x14ac:dyDescent="0.4">
      <c r="S338" s="6"/>
    </row>
    <row r="339" spans="19:19" x14ac:dyDescent="0.4">
      <c r="S339" s="6"/>
    </row>
    <row r="340" spans="19:19" x14ac:dyDescent="0.4">
      <c r="S340" s="6"/>
    </row>
    <row r="341" spans="19:19" x14ac:dyDescent="0.4">
      <c r="S341" s="6"/>
    </row>
    <row r="342" spans="19:19" x14ac:dyDescent="0.4">
      <c r="S342" s="6"/>
    </row>
    <row r="343" spans="19:19" x14ac:dyDescent="0.4">
      <c r="S343" s="6"/>
    </row>
    <row r="344" spans="19:19" x14ac:dyDescent="0.4">
      <c r="S344" s="6"/>
    </row>
    <row r="345" spans="19:19" x14ac:dyDescent="0.4">
      <c r="S345" s="6"/>
    </row>
    <row r="346" spans="19:19" x14ac:dyDescent="0.4">
      <c r="S346" s="6"/>
    </row>
    <row r="347" spans="19:19" x14ac:dyDescent="0.4">
      <c r="S347" s="6"/>
    </row>
    <row r="348" spans="19:19" x14ac:dyDescent="0.4">
      <c r="S348" s="6"/>
    </row>
    <row r="349" spans="19:19" x14ac:dyDescent="0.4">
      <c r="S349" s="6"/>
    </row>
    <row r="350" spans="19:19" x14ac:dyDescent="0.4">
      <c r="S350" s="6"/>
    </row>
    <row r="351" spans="19:19" x14ac:dyDescent="0.4">
      <c r="S351" s="6"/>
    </row>
    <row r="352" spans="19:19" x14ac:dyDescent="0.4">
      <c r="S352" s="6"/>
    </row>
    <row r="353" spans="19:19" x14ac:dyDescent="0.4">
      <c r="S353" s="6"/>
    </row>
    <row r="354" spans="19:19" x14ac:dyDescent="0.4">
      <c r="S354" s="6"/>
    </row>
    <row r="355" spans="19:19" x14ac:dyDescent="0.4">
      <c r="S355" s="6"/>
    </row>
    <row r="356" spans="19:19" x14ac:dyDescent="0.4">
      <c r="S356" s="6"/>
    </row>
    <row r="357" spans="19:19" x14ac:dyDescent="0.4">
      <c r="S357" s="6"/>
    </row>
    <row r="358" spans="19:19" x14ac:dyDescent="0.4">
      <c r="S358" s="6"/>
    </row>
    <row r="359" spans="19:19" x14ac:dyDescent="0.4">
      <c r="S359" s="6"/>
    </row>
    <row r="360" spans="19:19" x14ac:dyDescent="0.4">
      <c r="S360" s="6"/>
    </row>
    <row r="361" spans="19:19" x14ac:dyDescent="0.4">
      <c r="S361" s="6"/>
    </row>
    <row r="362" spans="19:19" x14ac:dyDescent="0.4">
      <c r="S362" s="6"/>
    </row>
    <row r="363" spans="19:19" x14ac:dyDescent="0.4">
      <c r="S363" s="6"/>
    </row>
    <row r="364" spans="19:19" x14ac:dyDescent="0.4">
      <c r="S364" s="6"/>
    </row>
    <row r="365" spans="19:19" x14ac:dyDescent="0.4">
      <c r="S365" s="6"/>
    </row>
    <row r="366" spans="19:19" x14ac:dyDescent="0.4">
      <c r="S366" s="6"/>
    </row>
    <row r="367" spans="19:19" x14ac:dyDescent="0.4">
      <c r="S367" s="6"/>
    </row>
    <row r="368" spans="19:19" x14ac:dyDescent="0.4">
      <c r="S368" s="6"/>
    </row>
    <row r="369" spans="19:19" x14ac:dyDescent="0.4">
      <c r="S369" s="6"/>
    </row>
    <row r="370" spans="19:19" x14ac:dyDescent="0.4">
      <c r="S370" s="6"/>
    </row>
    <row r="371" spans="19:19" x14ac:dyDescent="0.4">
      <c r="S371" s="6"/>
    </row>
    <row r="372" spans="19:19" x14ac:dyDescent="0.4">
      <c r="S372" s="6"/>
    </row>
    <row r="373" spans="19:19" x14ac:dyDescent="0.4">
      <c r="S373" s="6"/>
    </row>
    <row r="374" spans="19:19" x14ac:dyDescent="0.4">
      <c r="S374" s="6"/>
    </row>
    <row r="375" spans="19:19" x14ac:dyDescent="0.4">
      <c r="S375" s="6"/>
    </row>
    <row r="376" spans="19:19" x14ac:dyDescent="0.4">
      <c r="S376" s="6"/>
    </row>
    <row r="377" spans="19:19" x14ac:dyDescent="0.4">
      <c r="S377" s="6"/>
    </row>
    <row r="378" spans="19:19" x14ac:dyDescent="0.4">
      <c r="S378" s="6"/>
    </row>
    <row r="379" spans="19:19" x14ac:dyDescent="0.4">
      <c r="S379" s="6"/>
    </row>
    <row r="380" spans="19:19" x14ac:dyDescent="0.4">
      <c r="S380" s="6"/>
    </row>
    <row r="381" spans="19:19" x14ac:dyDescent="0.4">
      <c r="S381" s="6"/>
    </row>
    <row r="382" spans="19:19" x14ac:dyDescent="0.4">
      <c r="S382" s="6"/>
    </row>
    <row r="383" spans="19:19" x14ac:dyDescent="0.4">
      <c r="S383" s="6"/>
    </row>
    <row r="384" spans="19:19" x14ac:dyDescent="0.4">
      <c r="S384" s="6"/>
    </row>
    <row r="385" spans="19:19" x14ac:dyDescent="0.4">
      <c r="S385" s="6"/>
    </row>
    <row r="386" spans="19:19" x14ac:dyDescent="0.4">
      <c r="S386" s="6"/>
    </row>
    <row r="387" spans="19:19" x14ac:dyDescent="0.4">
      <c r="S387" s="6"/>
    </row>
    <row r="388" spans="19:19" x14ac:dyDescent="0.4">
      <c r="S388" s="6"/>
    </row>
    <row r="389" spans="19:19" x14ac:dyDescent="0.4">
      <c r="S389" s="6"/>
    </row>
    <row r="390" spans="19:19" x14ac:dyDescent="0.4">
      <c r="S390" s="6"/>
    </row>
    <row r="391" spans="19:19" x14ac:dyDescent="0.4">
      <c r="S391" s="6"/>
    </row>
    <row r="392" spans="19:19" x14ac:dyDescent="0.4">
      <c r="S392" s="6"/>
    </row>
    <row r="393" spans="19:19" x14ac:dyDescent="0.4">
      <c r="S393" s="6"/>
    </row>
    <row r="394" spans="19:19" x14ac:dyDescent="0.4">
      <c r="S394" s="6"/>
    </row>
    <row r="395" spans="19:19" x14ac:dyDescent="0.4">
      <c r="S395" s="6"/>
    </row>
    <row r="396" spans="19:19" x14ac:dyDescent="0.4">
      <c r="S396" s="6"/>
    </row>
    <row r="397" spans="19:19" x14ac:dyDescent="0.4">
      <c r="S397" s="6"/>
    </row>
    <row r="398" spans="19:19" x14ac:dyDescent="0.4">
      <c r="S398" s="6"/>
    </row>
    <row r="399" spans="19:19" x14ac:dyDescent="0.4">
      <c r="S399" s="6"/>
    </row>
    <row r="400" spans="19:19" x14ac:dyDescent="0.4">
      <c r="S400" s="6"/>
    </row>
    <row r="401" spans="19:19" x14ac:dyDescent="0.4">
      <c r="S401" s="6"/>
    </row>
    <row r="402" spans="19:19" x14ac:dyDescent="0.4">
      <c r="S402" s="6"/>
    </row>
    <row r="403" spans="19:19" x14ac:dyDescent="0.4">
      <c r="S403" s="6"/>
    </row>
    <row r="404" spans="19:19" x14ac:dyDescent="0.4">
      <c r="S404" s="6"/>
    </row>
    <row r="405" spans="19:19" x14ac:dyDescent="0.4">
      <c r="S405" s="6"/>
    </row>
    <row r="406" spans="19:19" x14ac:dyDescent="0.4">
      <c r="S406" s="6"/>
    </row>
    <row r="407" spans="19:19" x14ac:dyDescent="0.4">
      <c r="S407" s="6"/>
    </row>
    <row r="408" spans="19:19" x14ac:dyDescent="0.4">
      <c r="S408" s="6"/>
    </row>
    <row r="409" spans="19:19" x14ac:dyDescent="0.4">
      <c r="S409" s="6"/>
    </row>
    <row r="410" spans="19:19" x14ac:dyDescent="0.4">
      <c r="S410" s="6"/>
    </row>
    <row r="411" spans="19:19" x14ac:dyDescent="0.4">
      <c r="S411" s="6"/>
    </row>
    <row r="412" spans="19:19" x14ac:dyDescent="0.4">
      <c r="S412" s="6"/>
    </row>
    <row r="413" spans="19:19" x14ac:dyDescent="0.4">
      <c r="S413" s="6"/>
    </row>
    <row r="414" spans="19:19" x14ac:dyDescent="0.4">
      <c r="S414" s="6"/>
    </row>
    <row r="415" spans="19:19" x14ac:dyDescent="0.4">
      <c r="S415" s="6"/>
    </row>
    <row r="416" spans="19:19" x14ac:dyDescent="0.4">
      <c r="S416" s="6"/>
    </row>
    <row r="417" spans="19:19" x14ac:dyDescent="0.4">
      <c r="S417" s="6"/>
    </row>
    <row r="418" spans="19:19" x14ac:dyDescent="0.4">
      <c r="S418" s="6"/>
    </row>
    <row r="419" spans="19:19" x14ac:dyDescent="0.4">
      <c r="S419" s="6"/>
    </row>
    <row r="420" spans="19:19" x14ac:dyDescent="0.4">
      <c r="S420" s="6"/>
    </row>
    <row r="421" spans="19:19" x14ac:dyDescent="0.4">
      <c r="S421" s="6"/>
    </row>
    <row r="422" spans="19:19" x14ac:dyDescent="0.4">
      <c r="S422" s="6"/>
    </row>
    <row r="423" spans="19:19" x14ac:dyDescent="0.4">
      <c r="S423" s="6"/>
    </row>
    <row r="424" spans="19:19" x14ac:dyDescent="0.4">
      <c r="S424" s="6"/>
    </row>
    <row r="425" spans="19:19" x14ac:dyDescent="0.4">
      <c r="S425" s="6"/>
    </row>
    <row r="426" spans="19:19" x14ac:dyDescent="0.4">
      <c r="S426" s="6"/>
    </row>
    <row r="427" spans="19:19" x14ac:dyDescent="0.4">
      <c r="S427" s="6"/>
    </row>
    <row r="428" spans="19:19" x14ac:dyDescent="0.4">
      <c r="S428" s="6"/>
    </row>
    <row r="429" spans="19:19" x14ac:dyDescent="0.4">
      <c r="S429" s="6"/>
    </row>
    <row r="430" spans="19:19" x14ac:dyDescent="0.4">
      <c r="S430" s="6"/>
    </row>
    <row r="431" spans="19:19" x14ac:dyDescent="0.4">
      <c r="S431" s="6"/>
    </row>
    <row r="432" spans="19:19" x14ac:dyDescent="0.4">
      <c r="S432" s="6"/>
    </row>
    <row r="433" spans="19:19" x14ac:dyDescent="0.4">
      <c r="S433" s="6"/>
    </row>
    <row r="434" spans="19:19" x14ac:dyDescent="0.4">
      <c r="S434" s="6"/>
    </row>
    <row r="435" spans="19:19" x14ac:dyDescent="0.4">
      <c r="S435" s="6"/>
    </row>
    <row r="436" spans="19:19" x14ac:dyDescent="0.4">
      <c r="S436" s="6"/>
    </row>
    <row r="437" spans="19:19" x14ac:dyDescent="0.4">
      <c r="S437" s="6"/>
    </row>
    <row r="438" spans="19:19" x14ac:dyDescent="0.4">
      <c r="S438" s="6"/>
    </row>
    <row r="439" spans="19:19" x14ac:dyDescent="0.4">
      <c r="S439" s="6"/>
    </row>
    <row r="440" spans="19:19" x14ac:dyDescent="0.4">
      <c r="S440" s="6"/>
    </row>
    <row r="441" spans="19:19" x14ac:dyDescent="0.4">
      <c r="S441" s="6"/>
    </row>
    <row r="442" spans="19:19" x14ac:dyDescent="0.4">
      <c r="S442" s="6"/>
    </row>
    <row r="443" spans="19:19" x14ac:dyDescent="0.4">
      <c r="S443" s="6"/>
    </row>
    <row r="444" spans="19:19" x14ac:dyDescent="0.4">
      <c r="S444" s="6"/>
    </row>
    <row r="445" spans="19:19" x14ac:dyDescent="0.4">
      <c r="S445" s="6"/>
    </row>
    <row r="446" spans="19:19" x14ac:dyDescent="0.4">
      <c r="S446" s="6"/>
    </row>
    <row r="447" spans="19:19" x14ac:dyDescent="0.4">
      <c r="S447" s="6"/>
    </row>
    <row r="448" spans="19:19" x14ac:dyDescent="0.4">
      <c r="S448" s="6"/>
    </row>
    <row r="449" spans="19:19" x14ac:dyDescent="0.4">
      <c r="S449" s="6"/>
    </row>
    <row r="450" spans="19:19" x14ac:dyDescent="0.4">
      <c r="S450" s="6"/>
    </row>
    <row r="451" spans="19:19" x14ac:dyDescent="0.4">
      <c r="S451" s="6"/>
    </row>
    <row r="452" spans="19:19" x14ac:dyDescent="0.4">
      <c r="S452" s="6"/>
    </row>
    <row r="453" spans="19:19" x14ac:dyDescent="0.4">
      <c r="S453" s="6"/>
    </row>
    <row r="454" spans="19:19" x14ac:dyDescent="0.4">
      <c r="S454" s="6"/>
    </row>
    <row r="455" spans="19:19" x14ac:dyDescent="0.4">
      <c r="S455" s="6"/>
    </row>
    <row r="456" spans="19:19" x14ac:dyDescent="0.4">
      <c r="S456" s="6"/>
    </row>
    <row r="457" spans="19:19" x14ac:dyDescent="0.4">
      <c r="S457" s="6"/>
    </row>
    <row r="458" spans="19:19" x14ac:dyDescent="0.4">
      <c r="S458" s="6"/>
    </row>
    <row r="459" spans="19:19" x14ac:dyDescent="0.4">
      <c r="S459" s="6"/>
    </row>
    <row r="460" spans="19:19" x14ac:dyDescent="0.4">
      <c r="S460" s="6"/>
    </row>
    <row r="461" spans="19:19" x14ac:dyDescent="0.4">
      <c r="S461" s="6"/>
    </row>
    <row r="462" spans="19:19" x14ac:dyDescent="0.4">
      <c r="S462" s="6"/>
    </row>
    <row r="463" spans="19:19" x14ac:dyDescent="0.4">
      <c r="S463" s="6"/>
    </row>
    <row r="464" spans="19:19" x14ac:dyDescent="0.4">
      <c r="S464" s="6"/>
    </row>
    <row r="465" spans="19:19" x14ac:dyDescent="0.4">
      <c r="S465" s="6"/>
    </row>
    <row r="466" spans="19:19" x14ac:dyDescent="0.4">
      <c r="S466" s="6"/>
    </row>
    <row r="467" spans="19:19" x14ac:dyDescent="0.4">
      <c r="S467" s="6"/>
    </row>
    <row r="468" spans="19:19" x14ac:dyDescent="0.4">
      <c r="S468" s="6"/>
    </row>
    <row r="469" spans="19:19" x14ac:dyDescent="0.4">
      <c r="S469" s="6"/>
    </row>
    <row r="470" spans="19:19" x14ac:dyDescent="0.4">
      <c r="S470" s="6"/>
    </row>
    <row r="471" spans="19:19" x14ac:dyDescent="0.4">
      <c r="S471" s="6"/>
    </row>
    <row r="472" spans="19:19" x14ac:dyDescent="0.4">
      <c r="S472" s="6"/>
    </row>
    <row r="473" spans="19:19" x14ac:dyDescent="0.4">
      <c r="S473" s="6"/>
    </row>
    <row r="474" spans="19:19" x14ac:dyDescent="0.4">
      <c r="S474" s="6"/>
    </row>
    <row r="475" spans="19:19" x14ac:dyDescent="0.4">
      <c r="S475" s="6"/>
    </row>
    <row r="476" spans="19:19" x14ac:dyDescent="0.4">
      <c r="S476" s="6"/>
    </row>
    <row r="477" spans="19:19" x14ac:dyDescent="0.4">
      <c r="S477" s="6"/>
    </row>
    <row r="478" spans="19:19" x14ac:dyDescent="0.4">
      <c r="S478" s="6"/>
    </row>
    <row r="479" spans="19:19" x14ac:dyDescent="0.4">
      <c r="S479" s="6"/>
    </row>
    <row r="480" spans="19:19" x14ac:dyDescent="0.4">
      <c r="S480" s="6"/>
    </row>
    <row r="481" spans="19:19" x14ac:dyDescent="0.4">
      <c r="S481" s="6"/>
    </row>
    <row r="482" spans="19:19" x14ac:dyDescent="0.4">
      <c r="S482" s="6"/>
    </row>
    <row r="483" spans="19:19" x14ac:dyDescent="0.4">
      <c r="S483" s="6"/>
    </row>
    <row r="484" spans="19:19" x14ac:dyDescent="0.4">
      <c r="S484" s="6"/>
    </row>
    <row r="485" spans="19:19" x14ac:dyDescent="0.4">
      <c r="S485" s="6"/>
    </row>
    <row r="486" spans="19:19" x14ac:dyDescent="0.4">
      <c r="S486" s="6"/>
    </row>
    <row r="487" spans="19:19" x14ac:dyDescent="0.4">
      <c r="S487" s="6"/>
    </row>
    <row r="488" spans="19:19" x14ac:dyDescent="0.4">
      <c r="S488" s="6"/>
    </row>
    <row r="489" spans="19:19" x14ac:dyDescent="0.4">
      <c r="S489" s="6"/>
    </row>
    <row r="490" spans="19:19" x14ac:dyDescent="0.4">
      <c r="S490" s="6"/>
    </row>
    <row r="491" spans="19:19" x14ac:dyDescent="0.4">
      <c r="S491" s="6"/>
    </row>
    <row r="492" spans="19:19" x14ac:dyDescent="0.4">
      <c r="S492" s="6"/>
    </row>
    <row r="493" spans="19:19" x14ac:dyDescent="0.4">
      <c r="S493" s="6"/>
    </row>
    <row r="494" spans="19:19" x14ac:dyDescent="0.4">
      <c r="S494" s="6"/>
    </row>
    <row r="495" spans="19:19" x14ac:dyDescent="0.4">
      <c r="S495" s="6"/>
    </row>
    <row r="496" spans="19:19" x14ac:dyDescent="0.4">
      <c r="S496" s="6"/>
    </row>
    <row r="497" spans="19:19" x14ac:dyDescent="0.4">
      <c r="S497" s="6"/>
    </row>
    <row r="498" spans="19:19" x14ac:dyDescent="0.4">
      <c r="S498" s="6"/>
    </row>
    <row r="499" spans="19:19" x14ac:dyDescent="0.4">
      <c r="S499" s="6"/>
    </row>
    <row r="500" spans="19:19" x14ac:dyDescent="0.4">
      <c r="S500" s="6"/>
    </row>
    <row r="501" spans="19:19" x14ac:dyDescent="0.4">
      <c r="S501" s="6"/>
    </row>
    <row r="502" spans="19:19" x14ac:dyDescent="0.4">
      <c r="S502" s="6"/>
    </row>
    <row r="503" spans="19:19" x14ac:dyDescent="0.4">
      <c r="S503" s="6"/>
    </row>
    <row r="504" spans="19:19" x14ac:dyDescent="0.4">
      <c r="S504" s="6"/>
    </row>
    <row r="505" spans="19:19" x14ac:dyDescent="0.4">
      <c r="S505" s="6"/>
    </row>
    <row r="506" spans="19:19" x14ac:dyDescent="0.4">
      <c r="S506" s="6"/>
    </row>
    <row r="507" spans="19:19" x14ac:dyDescent="0.4">
      <c r="S507" s="6"/>
    </row>
    <row r="508" spans="19:19" x14ac:dyDescent="0.4">
      <c r="S508" s="6"/>
    </row>
    <row r="509" spans="19:19" x14ac:dyDescent="0.4">
      <c r="S509" s="6"/>
    </row>
    <row r="510" spans="19:19" x14ac:dyDescent="0.4">
      <c r="S510" s="6"/>
    </row>
    <row r="511" spans="19:19" x14ac:dyDescent="0.4">
      <c r="S511" s="6"/>
    </row>
    <row r="512" spans="19:19" x14ac:dyDescent="0.4">
      <c r="S512" s="6"/>
    </row>
    <row r="513" spans="19:19" x14ac:dyDescent="0.4">
      <c r="S513" s="6"/>
    </row>
    <row r="514" spans="19:19" x14ac:dyDescent="0.4">
      <c r="S514" s="6"/>
    </row>
    <row r="515" spans="19:19" x14ac:dyDescent="0.4">
      <c r="S515" s="6"/>
    </row>
    <row r="516" spans="19:19" x14ac:dyDescent="0.4">
      <c r="S516" s="6"/>
    </row>
    <row r="517" spans="19:19" x14ac:dyDescent="0.4">
      <c r="S517" s="6"/>
    </row>
    <row r="518" spans="19:19" x14ac:dyDescent="0.4">
      <c r="S518" s="6"/>
    </row>
    <row r="519" spans="19:19" x14ac:dyDescent="0.4">
      <c r="S519" s="6"/>
    </row>
    <row r="520" spans="19:19" x14ac:dyDescent="0.4">
      <c r="S520" s="6"/>
    </row>
    <row r="521" spans="19:19" x14ac:dyDescent="0.4">
      <c r="S521" s="6"/>
    </row>
    <row r="522" spans="19:19" x14ac:dyDescent="0.4">
      <c r="S522" s="6"/>
    </row>
    <row r="523" spans="19:19" x14ac:dyDescent="0.4">
      <c r="S523" s="6"/>
    </row>
    <row r="524" spans="19:19" x14ac:dyDescent="0.4">
      <c r="S524" s="6"/>
    </row>
    <row r="525" spans="19:19" x14ac:dyDescent="0.4">
      <c r="S525" s="6"/>
    </row>
    <row r="526" spans="19:19" x14ac:dyDescent="0.4">
      <c r="S526" s="6"/>
    </row>
    <row r="527" spans="19:19" x14ac:dyDescent="0.4">
      <c r="S527" s="6"/>
    </row>
    <row r="528" spans="19:19" x14ac:dyDescent="0.4">
      <c r="S528" s="6"/>
    </row>
    <row r="529" spans="19:19" x14ac:dyDescent="0.4">
      <c r="S529" s="6"/>
    </row>
    <row r="530" spans="19:19" x14ac:dyDescent="0.4">
      <c r="S530" s="6"/>
    </row>
    <row r="531" spans="19:19" x14ac:dyDescent="0.4">
      <c r="S531" s="6"/>
    </row>
    <row r="532" spans="19:19" x14ac:dyDescent="0.4">
      <c r="S532" s="6"/>
    </row>
    <row r="533" spans="19:19" x14ac:dyDescent="0.4">
      <c r="S533" s="6"/>
    </row>
    <row r="534" spans="19:19" x14ac:dyDescent="0.4">
      <c r="S534" s="6"/>
    </row>
    <row r="535" spans="19:19" x14ac:dyDescent="0.4">
      <c r="S535" s="6"/>
    </row>
    <row r="536" spans="19:19" x14ac:dyDescent="0.4">
      <c r="S536" s="6"/>
    </row>
    <row r="537" spans="19:19" x14ac:dyDescent="0.4">
      <c r="S537" s="6"/>
    </row>
    <row r="538" spans="19:19" x14ac:dyDescent="0.4">
      <c r="S538" s="6"/>
    </row>
    <row r="539" spans="19:19" x14ac:dyDescent="0.4">
      <c r="S539" s="6"/>
    </row>
    <row r="540" spans="19:19" x14ac:dyDescent="0.4">
      <c r="S540" s="6"/>
    </row>
    <row r="541" spans="19:19" x14ac:dyDescent="0.4">
      <c r="S541" s="6"/>
    </row>
    <row r="542" spans="19:19" x14ac:dyDescent="0.4">
      <c r="S542" s="6"/>
    </row>
    <row r="543" spans="19:19" x14ac:dyDescent="0.4">
      <c r="S543" s="6"/>
    </row>
    <row r="544" spans="19:19" x14ac:dyDescent="0.4">
      <c r="S544" s="6"/>
    </row>
    <row r="545" spans="19:19" x14ac:dyDescent="0.4">
      <c r="S545" s="6"/>
    </row>
    <row r="546" spans="19:19" x14ac:dyDescent="0.4">
      <c r="S546" s="6"/>
    </row>
    <row r="547" spans="19:19" x14ac:dyDescent="0.4">
      <c r="S547" s="6"/>
    </row>
    <row r="548" spans="19:19" x14ac:dyDescent="0.4">
      <c r="S548" s="6"/>
    </row>
    <row r="549" spans="19:19" x14ac:dyDescent="0.4">
      <c r="S549" s="6"/>
    </row>
    <row r="550" spans="19:19" x14ac:dyDescent="0.4">
      <c r="S550" s="6"/>
    </row>
    <row r="551" spans="19:19" x14ac:dyDescent="0.4">
      <c r="S551" s="6"/>
    </row>
    <row r="552" spans="19:19" x14ac:dyDescent="0.4">
      <c r="S552" s="6"/>
    </row>
    <row r="553" spans="19:19" x14ac:dyDescent="0.4">
      <c r="S553" s="6"/>
    </row>
    <row r="554" spans="19:19" x14ac:dyDescent="0.4">
      <c r="S554" s="6"/>
    </row>
    <row r="555" spans="19:19" x14ac:dyDescent="0.4">
      <c r="S555" s="6"/>
    </row>
    <row r="556" spans="19:19" x14ac:dyDescent="0.4">
      <c r="S556" s="6"/>
    </row>
    <row r="557" spans="19:19" x14ac:dyDescent="0.4">
      <c r="S557" s="6"/>
    </row>
    <row r="558" spans="19:19" x14ac:dyDescent="0.4">
      <c r="S558" s="6"/>
    </row>
    <row r="559" spans="19:19" x14ac:dyDescent="0.4">
      <c r="S559" s="6"/>
    </row>
    <row r="560" spans="19:19" x14ac:dyDescent="0.4">
      <c r="S560" s="6"/>
    </row>
    <row r="561" spans="19:19" x14ac:dyDescent="0.4">
      <c r="S561" s="6"/>
    </row>
    <row r="562" spans="19:19" x14ac:dyDescent="0.4">
      <c r="S562" s="6"/>
    </row>
    <row r="563" spans="19:19" x14ac:dyDescent="0.4">
      <c r="S563" s="6"/>
    </row>
    <row r="564" spans="19:19" x14ac:dyDescent="0.4">
      <c r="S564" s="6"/>
    </row>
    <row r="565" spans="19:19" x14ac:dyDescent="0.4">
      <c r="S565" s="6"/>
    </row>
    <row r="566" spans="19:19" x14ac:dyDescent="0.4">
      <c r="S566" s="6"/>
    </row>
    <row r="567" spans="19:19" x14ac:dyDescent="0.4">
      <c r="S567" s="6"/>
    </row>
    <row r="568" spans="19:19" x14ac:dyDescent="0.4">
      <c r="S568" s="6"/>
    </row>
    <row r="569" spans="19:19" x14ac:dyDescent="0.4">
      <c r="S569" s="6"/>
    </row>
    <row r="570" spans="19:19" x14ac:dyDescent="0.4">
      <c r="S570" s="6"/>
    </row>
    <row r="571" spans="19:19" x14ac:dyDescent="0.4">
      <c r="S571" s="6"/>
    </row>
    <row r="572" spans="19:19" x14ac:dyDescent="0.4">
      <c r="S572" s="6"/>
    </row>
    <row r="573" spans="19:19" x14ac:dyDescent="0.4">
      <c r="S573" s="6"/>
    </row>
    <row r="574" spans="19:19" x14ac:dyDescent="0.4">
      <c r="S574" s="6"/>
    </row>
    <row r="575" spans="19:19" x14ac:dyDescent="0.4">
      <c r="S575" s="6"/>
    </row>
    <row r="576" spans="19:19" x14ac:dyDescent="0.4">
      <c r="S576" s="6"/>
    </row>
    <row r="577" spans="19:19" x14ac:dyDescent="0.4">
      <c r="S577" s="6"/>
    </row>
    <row r="578" spans="19:19" x14ac:dyDescent="0.4">
      <c r="S578" s="6"/>
    </row>
    <row r="579" spans="19:19" x14ac:dyDescent="0.4">
      <c r="S579" s="6"/>
    </row>
    <row r="580" spans="19:19" x14ac:dyDescent="0.4">
      <c r="S580" s="6"/>
    </row>
    <row r="581" spans="19:19" x14ac:dyDescent="0.4">
      <c r="S581" s="6"/>
    </row>
    <row r="582" spans="19:19" x14ac:dyDescent="0.4">
      <c r="S582" s="6"/>
    </row>
    <row r="583" spans="19:19" x14ac:dyDescent="0.4">
      <c r="S583" s="6"/>
    </row>
    <row r="584" spans="19:19" x14ac:dyDescent="0.4">
      <c r="S584" s="6"/>
    </row>
    <row r="585" spans="19:19" x14ac:dyDescent="0.4">
      <c r="S585" s="6"/>
    </row>
    <row r="586" spans="19:19" x14ac:dyDescent="0.4">
      <c r="S586" s="6"/>
    </row>
    <row r="587" spans="19:19" x14ac:dyDescent="0.4">
      <c r="S587" s="6"/>
    </row>
    <row r="588" spans="19:19" x14ac:dyDescent="0.4">
      <c r="S588" s="6"/>
    </row>
    <row r="589" spans="19:19" x14ac:dyDescent="0.4">
      <c r="S589" s="6"/>
    </row>
    <row r="590" spans="19:19" x14ac:dyDescent="0.4">
      <c r="S590" s="6"/>
    </row>
    <row r="591" spans="19:19" x14ac:dyDescent="0.4">
      <c r="S591" s="6"/>
    </row>
    <row r="592" spans="19:19" x14ac:dyDescent="0.4">
      <c r="S592" s="6"/>
    </row>
    <row r="593" spans="19:19" x14ac:dyDescent="0.4">
      <c r="S593" s="6"/>
    </row>
    <row r="594" spans="19:19" x14ac:dyDescent="0.4">
      <c r="S594" s="6"/>
    </row>
    <row r="595" spans="19:19" x14ac:dyDescent="0.4">
      <c r="S595" s="6"/>
    </row>
    <row r="596" spans="19:19" x14ac:dyDescent="0.4">
      <c r="S596" s="6"/>
    </row>
    <row r="597" spans="19:19" x14ac:dyDescent="0.4">
      <c r="S597" s="6"/>
    </row>
    <row r="598" spans="19:19" x14ac:dyDescent="0.4">
      <c r="S598" s="6"/>
    </row>
    <row r="599" spans="19:19" x14ac:dyDescent="0.4">
      <c r="S599" s="6"/>
    </row>
    <row r="600" spans="19:19" x14ac:dyDescent="0.4">
      <c r="S600" s="6"/>
    </row>
    <row r="601" spans="19:19" x14ac:dyDescent="0.4">
      <c r="S601" s="6"/>
    </row>
    <row r="602" spans="19:19" x14ac:dyDescent="0.4">
      <c r="S602" s="6"/>
    </row>
    <row r="603" spans="19:19" x14ac:dyDescent="0.4">
      <c r="S603" s="6"/>
    </row>
    <row r="604" spans="19:19" x14ac:dyDescent="0.4">
      <c r="S604" s="6"/>
    </row>
    <row r="605" spans="19:19" x14ac:dyDescent="0.4">
      <c r="S605" s="6"/>
    </row>
    <row r="606" spans="19:19" x14ac:dyDescent="0.4">
      <c r="S606" s="6"/>
    </row>
    <row r="607" spans="19:19" x14ac:dyDescent="0.4">
      <c r="S607" s="6"/>
    </row>
    <row r="608" spans="19:19" x14ac:dyDescent="0.4">
      <c r="S608" s="6"/>
    </row>
    <row r="609" spans="19:19" x14ac:dyDescent="0.4">
      <c r="S609" s="6"/>
    </row>
    <row r="610" spans="19:19" x14ac:dyDescent="0.4">
      <c r="S610" s="6"/>
    </row>
    <row r="611" spans="19:19" x14ac:dyDescent="0.4">
      <c r="S611" s="6"/>
    </row>
    <row r="612" spans="19:19" x14ac:dyDescent="0.4">
      <c r="S612" s="6"/>
    </row>
    <row r="613" spans="19:19" x14ac:dyDescent="0.4">
      <c r="S613" s="6"/>
    </row>
    <row r="614" spans="19:19" x14ac:dyDescent="0.4">
      <c r="S614" s="6"/>
    </row>
    <row r="615" spans="19:19" x14ac:dyDescent="0.4">
      <c r="S615" s="6"/>
    </row>
    <row r="616" spans="19:19" x14ac:dyDescent="0.4">
      <c r="S616" s="6"/>
    </row>
    <row r="617" spans="19:19" x14ac:dyDescent="0.4">
      <c r="S617" s="6"/>
    </row>
    <row r="618" spans="19:19" x14ac:dyDescent="0.4">
      <c r="S618" s="6"/>
    </row>
    <row r="619" spans="19:19" x14ac:dyDescent="0.4">
      <c r="S619" s="6"/>
    </row>
    <row r="620" spans="19:19" x14ac:dyDescent="0.4">
      <c r="S620" s="6"/>
    </row>
    <row r="621" spans="19:19" x14ac:dyDescent="0.4">
      <c r="S621" s="6"/>
    </row>
    <row r="622" spans="19:19" x14ac:dyDescent="0.4">
      <c r="S622" s="6"/>
    </row>
    <row r="623" spans="19:19" x14ac:dyDescent="0.4">
      <c r="S623" s="6"/>
    </row>
    <row r="624" spans="19:19" x14ac:dyDescent="0.4">
      <c r="S624" s="6"/>
    </row>
    <row r="625" spans="19:19" x14ac:dyDescent="0.4">
      <c r="S625" s="6"/>
    </row>
    <row r="626" spans="19:19" x14ac:dyDescent="0.4">
      <c r="S626" s="6"/>
    </row>
    <row r="627" spans="19:19" x14ac:dyDescent="0.4">
      <c r="S627" s="6"/>
    </row>
    <row r="628" spans="19:19" x14ac:dyDescent="0.4">
      <c r="S628" s="6"/>
    </row>
    <row r="629" spans="19:19" x14ac:dyDescent="0.4">
      <c r="S629" s="6"/>
    </row>
    <row r="630" spans="19:19" x14ac:dyDescent="0.4">
      <c r="S630" s="6"/>
    </row>
    <row r="631" spans="19:19" x14ac:dyDescent="0.4">
      <c r="S631" s="6"/>
    </row>
    <row r="632" spans="19:19" x14ac:dyDescent="0.4">
      <c r="S632" s="6"/>
    </row>
    <row r="633" spans="19:19" x14ac:dyDescent="0.4">
      <c r="S633" s="6"/>
    </row>
    <row r="634" spans="19:19" x14ac:dyDescent="0.4">
      <c r="S634" s="6"/>
    </row>
    <row r="635" spans="19:19" x14ac:dyDescent="0.4">
      <c r="S635" s="6"/>
    </row>
    <row r="636" spans="19:19" x14ac:dyDescent="0.4">
      <c r="S636" s="6"/>
    </row>
    <row r="637" spans="19:19" x14ac:dyDescent="0.4">
      <c r="S637" s="6"/>
    </row>
    <row r="638" spans="19:19" x14ac:dyDescent="0.4">
      <c r="S638" s="6"/>
    </row>
    <row r="639" spans="19:19" x14ac:dyDescent="0.4">
      <c r="S639" s="6"/>
    </row>
    <row r="640" spans="19:19" x14ac:dyDescent="0.4">
      <c r="S640" s="6"/>
    </row>
    <row r="641" spans="19:19" x14ac:dyDescent="0.4">
      <c r="S641" s="6"/>
    </row>
    <row r="642" spans="19:19" x14ac:dyDescent="0.4">
      <c r="S642" s="6"/>
    </row>
    <row r="643" spans="19:19" x14ac:dyDescent="0.4">
      <c r="S643" s="6"/>
    </row>
    <row r="644" spans="19:19" x14ac:dyDescent="0.4">
      <c r="S644" s="6"/>
    </row>
    <row r="645" spans="19:19" x14ac:dyDescent="0.4">
      <c r="S645" s="6"/>
    </row>
    <row r="646" spans="19:19" x14ac:dyDescent="0.4">
      <c r="S646" s="6"/>
    </row>
    <row r="647" spans="19:19" x14ac:dyDescent="0.4">
      <c r="S647" s="6"/>
    </row>
    <row r="648" spans="19:19" x14ac:dyDescent="0.4">
      <c r="S648" s="6"/>
    </row>
    <row r="649" spans="19:19" x14ac:dyDescent="0.4">
      <c r="S649" s="6"/>
    </row>
    <row r="650" spans="19:19" x14ac:dyDescent="0.4">
      <c r="S650" s="6"/>
    </row>
    <row r="651" spans="19:19" x14ac:dyDescent="0.4">
      <c r="S651" s="6"/>
    </row>
    <row r="652" spans="19:19" x14ac:dyDescent="0.4">
      <c r="S652" s="6"/>
    </row>
    <row r="653" spans="19:19" x14ac:dyDescent="0.4">
      <c r="S653" s="6"/>
    </row>
    <row r="654" spans="19:19" x14ac:dyDescent="0.4">
      <c r="S654" s="6"/>
    </row>
    <row r="655" spans="19:19" x14ac:dyDescent="0.4">
      <c r="S655" s="6"/>
    </row>
    <row r="656" spans="19:19" x14ac:dyDescent="0.4">
      <c r="S656" s="6"/>
    </row>
    <row r="657" spans="19:19" x14ac:dyDescent="0.4">
      <c r="S657" s="6"/>
    </row>
    <row r="658" spans="19:19" x14ac:dyDescent="0.4">
      <c r="S658" s="6"/>
    </row>
    <row r="659" spans="19:19" x14ac:dyDescent="0.4">
      <c r="S659" s="6"/>
    </row>
    <row r="660" spans="19:19" x14ac:dyDescent="0.4">
      <c r="S660" s="6"/>
    </row>
    <row r="661" spans="19:19" x14ac:dyDescent="0.4">
      <c r="S661" s="6"/>
    </row>
    <row r="662" spans="19:19" x14ac:dyDescent="0.4">
      <c r="S662" s="6"/>
    </row>
    <row r="663" spans="19:19" x14ac:dyDescent="0.4">
      <c r="S663" s="6"/>
    </row>
    <row r="664" spans="19:19" x14ac:dyDescent="0.4">
      <c r="S664" s="6"/>
    </row>
    <row r="665" spans="19:19" x14ac:dyDescent="0.4">
      <c r="S665" s="6"/>
    </row>
    <row r="666" spans="19:19" x14ac:dyDescent="0.4">
      <c r="S666" s="6"/>
    </row>
    <row r="667" spans="19:19" x14ac:dyDescent="0.4">
      <c r="S667" s="6"/>
    </row>
    <row r="668" spans="19:19" x14ac:dyDescent="0.4">
      <c r="S668" s="6"/>
    </row>
    <row r="669" spans="19:19" x14ac:dyDescent="0.4">
      <c r="S669" s="6"/>
    </row>
    <row r="670" spans="19:19" x14ac:dyDescent="0.4">
      <c r="S670" s="6"/>
    </row>
    <row r="671" spans="19:19" x14ac:dyDescent="0.4">
      <c r="S671" s="6"/>
    </row>
    <row r="672" spans="19:19" x14ac:dyDescent="0.4">
      <c r="S672" s="6"/>
    </row>
    <row r="673" spans="19:19" x14ac:dyDescent="0.4">
      <c r="S673" s="6"/>
    </row>
    <row r="674" spans="19:19" x14ac:dyDescent="0.4">
      <c r="S674" s="6"/>
    </row>
    <row r="675" spans="19:19" x14ac:dyDescent="0.4">
      <c r="S675" s="6"/>
    </row>
    <row r="676" spans="19:19" x14ac:dyDescent="0.4">
      <c r="S676" s="6"/>
    </row>
    <row r="677" spans="19:19" x14ac:dyDescent="0.4">
      <c r="S677" s="6"/>
    </row>
    <row r="678" spans="19:19" x14ac:dyDescent="0.4">
      <c r="S678" s="6"/>
    </row>
    <row r="679" spans="19:19" x14ac:dyDescent="0.4">
      <c r="S679" s="6"/>
    </row>
    <row r="680" spans="19:19" x14ac:dyDescent="0.4">
      <c r="S680" s="6"/>
    </row>
    <row r="681" spans="19:19" x14ac:dyDescent="0.4">
      <c r="S681" s="6"/>
    </row>
    <row r="682" spans="19:19" x14ac:dyDescent="0.4">
      <c r="S682" s="6"/>
    </row>
    <row r="683" spans="19:19" x14ac:dyDescent="0.4">
      <c r="S683" s="6"/>
    </row>
    <row r="684" spans="19:19" x14ac:dyDescent="0.4">
      <c r="S684" s="6"/>
    </row>
    <row r="685" spans="19:19" x14ac:dyDescent="0.4">
      <c r="S685" s="6"/>
    </row>
    <row r="686" spans="19:19" x14ac:dyDescent="0.4">
      <c r="S686" s="6"/>
    </row>
    <row r="687" spans="19:19" x14ac:dyDescent="0.4">
      <c r="S687" s="6"/>
    </row>
    <row r="688" spans="19:19" x14ac:dyDescent="0.4">
      <c r="S688" s="6"/>
    </row>
    <row r="689" spans="19:19" x14ac:dyDescent="0.4">
      <c r="S689" s="6"/>
    </row>
    <row r="690" spans="19:19" x14ac:dyDescent="0.4">
      <c r="S690" s="6"/>
    </row>
    <row r="691" spans="19:19" x14ac:dyDescent="0.4">
      <c r="S691" s="6"/>
    </row>
    <row r="692" spans="19:19" x14ac:dyDescent="0.4">
      <c r="S692" s="6"/>
    </row>
    <row r="693" spans="19:19" x14ac:dyDescent="0.4">
      <c r="S693" s="6"/>
    </row>
    <row r="694" spans="19:19" x14ac:dyDescent="0.4">
      <c r="S694" s="6"/>
    </row>
    <row r="695" spans="19:19" x14ac:dyDescent="0.4">
      <c r="S695" s="6"/>
    </row>
    <row r="696" spans="19:19" x14ac:dyDescent="0.4">
      <c r="S696" s="6"/>
    </row>
    <row r="697" spans="19:19" x14ac:dyDescent="0.4">
      <c r="S697" s="6"/>
    </row>
    <row r="698" spans="19:19" x14ac:dyDescent="0.4">
      <c r="S698" s="6"/>
    </row>
    <row r="699" spans="19:19" x14ac:dyDescent="0.4">
      <c r="S699" s="6"/>
    </row>
    <row r="700" spans="19:19" x14ac:dyDescent="0.4">
      <c r="S700" s="6"/>
    </row>
    <row r="701" spans="19:19" x14ac:dyDescent="0.4">
      <c r="S701" s="6"/>
    </row>
    <row r="702" spans="19:19" x14ac:dyDescent="0.4">
      <c r="S702" s="6"/>
    </row>
    <row r="703" spans="19:19" x14ac:dyDescent="0.4">
      <c r="S703" s="6"/>
    </row>
    <row r="704" spans="19:19" x14ac:dyDescent="0.4">
      <c r="S704" s="6"/>
    </row>
    <row r="705" spans="19:19" x14ac:dyDescent="0.4">
      <c r="S705" s="6"/>
    </row>
    <row r="706" spans="19:19" x14ac:dyDescent="0.4">
      <c r="S706" s="6"/>
    </row>
    <row r="707" spans="19:19" x14ac:dyDescent="0.4">
      <c r="S707" s="6"/>
    </row>
    <row r="708" spans="19:19" x14ac:dyDescent="0.4">
      <c r="S708" s="6"/>
    </row>
    <row r="709" spans="19:19" x14ac:dyDescent="0.4">
      <c r="S709" s="6"/>
    </row>
    <row r="710" spans="19:19" x14ac:dyDescent="0.4">
      <c r="S710" s="6"/>
    </row>
    <row r="711" spans="19:19" x14ac:dyDescent="0.4">
      <c r="S711" s="6"/>
    </row>
    <row r="712" spans="19:19" x14ac:dyDescent="0.4">
      <c r="S712" s="6"/>
    </row>
    <row r="713" spans="19:19" x14ac:dyDescent="0.4">
      <c r="S713" s="6"/>
    </row>
    <row r="714" spans="19:19" x14ac:dyDescent="0.4">
      <c r="S714" s="6"/>
    </row>
    <row r="715" spans="19:19" x14ac:dyDescent="0.4">
      <c r="S715" s="6"/>
    </row>
    <row r="716" spans="19:19" x14ac:dyDescent="0.4">
      <c r="S716" s="6"/>
    </row>
    <row r="717" spans="19:19" x14ac:dyDescent="0.4">
      <c r="S717" s="6"/>
    </row>
    <row r="718" spans="19:19" x14ac:dyDescent="0.4">
      <c r="S718" s="6"/>
    </row>
    <row r="719" spans="19:19" x14ac:dyDescent="0.4">
      <c r="S719" s="6"/>
    </row>
    <row r="720" spans="19:19" x14ac:dyDescent="0.4">
      <c r="S720" s="6"/>
    </row>
    <row r="721" spans="19:19" x14ac:dyDescent="0.4">
      <c r="S721" s="6"/>
    </row>
    <row r="722" spans="19:19" x14ac:dyDescent="0.4">
      <c r="S722" s="6"/>
    </row>
    <row r="723" spans="19:19" x14ac:dyDescent="0.4">
      <c r="S723" s="6"/>
    </row>
    <row r="724" spans="19:19" x14ac:dyDescent="0.4">
      <c r="S724" s="6"/>
    </row>
    <row r="725" spans="19:19" x14ac:dyDescent="0.4">
      <c r="S725" s="6"/>
    </row>
    <row r="726" spans="19:19" x14ac:dyDescent="0.4">
      <c r="S726" s="6"/>
    </row>
    <row r="727" spans="19:19" x14ac:dyDescent="0.4">
      <c r="S727" s="6"/>
    </row>
    <row r="728" spans="19:19" x14ac:dyDescent="0.4">
      <c r="S728" s="6"/>
    </row>
    <row r="729" spans="19:19" x14ac:dyDescent="0.4">
      <c r="S729" s="6"/>
    </row>
    <row r="730" spans="19:19" x14ac:dyDescent="0.4">
      <c r="S730" s="6"/>
    </row>
    <row r="731" spans="19:19" x14ac:dyDescent="0.4">
      <c r="S731" s="6"/>
    </row>
    <row r="732" spans="19:19" x14ac:dyDescent="0.4">
      <c r="S732" s="6"/>
    </row>
    <row r="733" spans="19:19" x14ac:dyDescent="0.4">
      <c r="S733" s="6"/>
    </row>
    <row r="734" spans="19:19" x14ac:dyDescent="0.4">
      <c r="S734" s="6"/>
    </row>
    <row r="735" spans="19:19" x14ac:dyDescent="0.4">
      <c r="S735" s="6"/>
    </row>
    <row r="736" spans="19:19" x14ac:dyDescent="0.4">
      <c r="S736" s="6"/>
    </row>
    <row r="737" spans="19:19" x14ac:dyDescent="0.4">
      <c r="S737" s="6"/>
    </row>
    <row r="738" spans="19:19" x14ac:dyDescent="0.4">
      <c r="S738" s="6"/>
    </row>
    <row r="739" spans="19:19" x14ac:dyDescent="0.4">
      <c r="S739" s="6"/>
    </row>
    <row r="740" spans="19:19" x14ac:dyDescent="0.4">
      <c r="S740" s="6"/>
    </row>
    <row r="741" spans="19:19" x14ac:dyDescent="0.4">
      <c r="S741" s="6"/>
    </row>
    <row r="742" spans="19:19" x14ac:dyDescent="0.4">
      <c r="S742" s="6"/>
    </row>
    <row r="743" spans="19:19" x14ac:dyDescent="0.4">
      <c r="S743" s="6"/>
    </row>
    <row r="744" spans="19:19" x14ac:dyDescent="0.4">
      <c r="S744" s="6"/>
    </row>
    <row r="745" spans="19:19" x14ac:dyDescent="0.4">
      <c r="S745" s="6"/>
    </row>
    <row r="746" spans="19:19" x14ac:dyDescent="0.4">
      <c r="S746" s="6"/>
    </row>
    <row r="747" spans="19:19" x14ac:dyDescent="0.4">
      <c r="S747" s="6"/>
    </row>
    <row r="748" spans="19:19" x14ac:dyDescent="0.4">
      <c r="S748" s="6"/>
    </row>
    <row r="749" spans="19:19" x14ac:dyDescent="0.4">
      <c r="S749" s="6"/>
    </row>
    <row r="750" spans="19:19" x14ac:dyDescent="0.4">
      <c r="S750" s="6"/>
    </row>
    <row r="751" spans="19:19" x14ac:dyDescent="0.4">
      <c r="S751" s="6"/>
    </row>
    <row r="752" spans="19:19" x14ac:dyDescent="0.4">
      <c r="S752" s="6"/>
    </row>
    <row r="753" spans="19:19" x14ac:dyDescent="0.4">
      <c r="S753" s="6"/>
    </row>
    <row r="754" spans="19:19" x14ac:dyDescent="0.4">
      <c r="S754" s="6"/>
    </row>
    <row r="755" spans="19:19" x14ac:dyDescent="0.4">
      <c r="S755" s="6"/>
    </row>
    <row r="756" spans="19:19" x14ac:dyDescent="0.4">
      <c r="S756" s="6"/>
    </row>
    <row r="757" spans="19:19" x14ac:dyDescent="0.4">
      <c r="S757" s="6"/>
    </row>
    <row r="758" spans="19:19" x14ac:dyDescent="0.4">
      <c r="S758" s="6"/>
    </row>
    <row r="759" spans="19:19" x14ac:dyDescent="0.4">
      <c r="S759" s="6"/>
    </row>
    <row r="760" spans="19:19" x14ac:dyDescent="0.4">
      <c r="S760" s="6"/>
    </row>
    <row r="761" spans="19:19" x14ac:dyDescent="0.4">
      <c r="S761" s="6"/>
    </row>
    <row r="762" spans="19:19" x14ac:dyDescent="0.4">
      <c r="S762" s="6"/>
    </row>
    <row r="763" spans="19:19" x14ac:dyDescent="0.4">
      <c r="S763" s="6"/>
    </row>
    <row r="764" spans="19:19" x14ac:dyDescent="0.4">
      <c r="S764" s="6"/>
    </row>
    <row r="765" spans="19:19" x14ac:dyDescent="0.4">
      <c r="S765" s="6"/>
    </row>
    <row r="766" spans="19:19" x14ac:dyDescent="0.4">
      <c r="S766" s="6"/>
    </row>
    <row r="767" spans="19:19" x14ac:dyDescent="0.4">
      <c r="S767" s="6"/>
    </row>
    <row r="768" spans="19:19" x14ac:dyDescent="0.4">
      <c r="S768" s="6"/>
    </row>
    <row r="769" spans="19:19" x14ac:dyDescent="0.4">
      <c r="S769" s="6"/>
    </row>
    <row r="770" spans="19:19" x14ac:dyDescent="0.4">
      <c r="S770" s="6"/>
    </row>
    <row r="771" spans="19:19" x14ac:dyDescent="0.4">
      <c r="S771" s="6"/>
    </row>
    <row r="772" spans="19:19" x14ac:dyDescent="0.4">
      <c r="S772" s="6"/>
    </row>
    <row r="773" spans="19:19" x14ac:dyDescent="0.4">
      <c r="S773" s="6"/>
    </row>
    <row r="774" spans="19:19" x14ac:dyDescent="0.4">
      <c r="S774" s="6"/>
    </row>
    <row r="775" spans="19:19" x14ac:dyDescent="0.4">
      <c r="S775" s="6"/>
    </row>
    <row r="776" spans="19:19" x14ac:dyDescent="0.4">
      <c r="S776" s="6"/>
    </row>
    <row r="777" spans="19:19" x14ac:dyDescent="0.4">
      <c r="S777" s="6"/>
    </row>
    <row r="778" spans="19:19" x14ac:dyDescent="0.4">
      <c r="S778" s="6"/>
    </row>
    <row r="779" spans="19:19" x14ac:dyDescent="0.4">
      <c r="S779" s="6"/>
    </row>
    <row r="780" spans="19:19" x14ac:dyDescent="0.4">
      <c r="S780" s="6"/>
    </row>
    <row r="781" spans="19:19" x14ac:dyDescent="0.4">
      <c r="S781" s="6"/>
    </row>
    <row r="782" spans="19:19" x14ac:dyDescent="0.4">
      <c r="S782" s="6"/>
    </row>
    <row r="783" spans="19:19" x14ac:dyDescent="0.4">
      <c r="S783" s="6"/>
    </row>
    <row r="784" spans="19:19" x14ac:dyDescent="0.4">
      <c r="S784" s="6"/>
    </row>
    <row r="785" spans="19:19" x14ac:dyDescent="0.4">
      <c r="S785" s="6"/>
    </row>
    <row r="786" spans="19:19" x14ac:dyDescent="0.4">
      <c r="S786" s="6"/>
    </row>
    <row r="787" spans="19:19" x14ac:dyDescent="0.4">
      <c r="S787" s="6"/>
    </row>
    <row r="788" spans="19:19" x14ac:dyDescent="0.4">
      <c r="S788" s="6"/>
    </row>
    <row r="789" spans="19:19" x14ac:dyDescent="0.4">
      <c r="S789" s="6"/>
    </row>
    <row r="790" spans="19:19" x14ac:dyDescent="0.4">
      <c r="S790" s="6"/>
    </row>
    <row r="791" spans="19:19" x14ac:dyDescent="0.4">
      <c r="S791" s="6"/>
    </row>
    <row r="792" spans="19:19" x14ac:dyDescent="0.4">
      <c r="S792" s="6"/>
    </row>
    <row r="793" spans="19:19" x14ac:dyDescent="0.4">
      <c r="S793" s="6"/>
    </row>
    <row r="794" spans="19:19" x14ac:dyDescent="0.4">
      <c r="S794" s="6"/>
    </row>
    <row r="795" spans="19:19" x14ac:dyDescent="0.4">
      <c r="S795" s="6"/>
    </row>
    <row r="796" spans="19:19" x14ac:dyDescent="0.4">
      <c r="S796" s="6"/>
    </row>
    <row r="797" spans="19:19" x14ac:dyDescent="0.4">
      <c r="S797" s="6"/>
    </row>
    <row r="798" spans="19:19" x14ac:dyDescent="0.4">
      <c r="S798" s="6"/>
    </row>
    <row r="799" spans="19:19" x14ac:dyDescent="0.4">
      <c r="S799" s="6"/>
    </row>
    <row r="800" spans="19:19" x14ac:dyDescent="0.4">
      <c r="S800" s="6"/>
    </row>
    <row r="801" spans="19:19" x14ac:dyDescent="0.4">
      <c r="S801" s="6"/>
    </row>
    <row r="802" spans="19:19" x14ac:dyDescent="0.4">
      <c r="S802" s="6"/>
    </row>
    <row r="803" spans="19:19" x14ac:dyDescent="0.4">
      <c r="S803" s="6"/>
    </row>
    <row r="804" spans="19:19" x14ac:dyDescent="0.4">
      <c r="S804" s="6"/>
    </row>
    <row r="805" spans="19:19" x14ac:dyDescent="0.4">
      <c r="S805" s="6"/>
    </row>
    <row r="806" spans="19:19" x14ac:dyDescent="0.4">
      <c r="S806" s="6"/>
    </row>
    <row r="807" spans="19:19" x14ac:dyDescent="0.4">
      <c r="S807" s="6"/>
    </row>
    <row r="808" spans="19:19" x14ac:dyDescent="0.4">
      <c r="S808" s="6"/>
    </row>
    <row r="809" spans="19:19" x14ac:dyDescent="0.4">
      <c r="S809" s="6"/>
    </row>
    <row r="810" spans="19:19" x14ac:dyDescent="0.4">
      <c r="S810" s="6"/>
    </row>
    <row r="811" spans="19:19" x14ac:dyDescent="0.4">
      <c r="S811" s="6"/>
    </row>
    <row r="812" spans="19:19" x14ac:dyDescent="0.4">
      <c r="S812" s="6"/>
    </row>
    <row r="813" spans="19:19" x14ac:dyDescent="0.4">
      <c r="S813" s="6"/>
    </row>
    <row r="814" spans="19:19" x14ac:dyDescent="0.4">
      <c r="S814" s="6"/>
    </row>
    <row r="815" spans="19:19" x14ac:dyDescent="0.4">
      <c r="S815" s="6"/>
    </row>
    <row r="816" spans="19:19" x14ac:dyDescent="0.4">
      <c r="S816" s="6"/>
    </row>
    <row r="817" spans="19:19" x14ac:dyDescent="0.4">
      <c r="S817" s="6"/>
    </row>
    <row r="818" spans="19:19" x14ac:dyDescent="0.4">
      <c r="S818" s="6"/>
    </row>
    <row r="819" spans="19:19" x14ac:dyDescent="0.4">
      <c r="S819" s="6"/>
    </row>
    <row r="820" spans="19:19" x14ac:dyDescent="0.4">
      <c r="S820" s="6"/>
    </row>
    <row r="821" spans="19:19" x14ac:dyDescent="0.4">
      <c r="S821" s="6"/>
    </row>
    <row r="822" spans="19:19" x14ac:dyDescent="0.4">
      <c r="S822" s="6"/>
    </row>
    <row r="823" spans="19:19" x14ac:dyDescent="0.4">
      <c r="S823" s="6"/>
    </row>
    <row r="824" spans="19:19" x14ac:dyDescent="0.4">
      <c r="S824" s="6"/>
    </row>
    <row r="825" spans="19:19" x14ac:dyDescent="0.4">
      <c r="S825" s="6"/>
    </row>
    <row r="826" spans="19:19" x14ac:dyDescent="0.4">
      <c r="S826" s="6"/>
    </row>
    <row r="827" spans="19:19" x14ac:dyDescent="0.4">
      <c r="S827" s="6"/>
    </row>
    <row r="828" spans="19:19" x14ac:dyDescent="0.4">
      <c r="S828" s="6"/>
    </row>
    <row r="829" spans="19:19" x14ac:dyDescent="0.4">
      <c r="S829" s="6"/>
    </row>
    <row r="830" spans="19:19" x14ac:dyDescent="0.4">
      <c r="S830" s="6"/>
    </row>
    <row r="831" spans="19:19" x14ac:dyDescent="0.4">
      <c r="S831" s="6"/>
    </row>
    <row r="832" spans="19:19" x14ac:dyDescent="0.4">
      <c r="S832" s="6"/>
    </row>
    <row r="833" spans="19:19" x14ac:dyDescent="0.4">
      <c r="S833" s="6"/>
    </row>
    <row r="834" spans="19:19" x14ac:dyDescent="0.4">
      <c r="S834" s="6"/>
    </row>
    <row r="835" spans="19:19" x14ac:dyDescent="0.4">
      <c r="S835" s="6"/>
    </row>
    <row r="836" spans="19:19" x14ac:dyDescent="0.4">
      <c r="S836" s="6"/>
    </row>
    <row r="837" spans="19:19" x14ac:dyDescent="0.4">
      <c r="S837" s="6"/>
    </row>
    <row r="838" spans="19:19" x14ac:dyDescent="0.4">
      <c r="S838" s="6"/>
    </row>
    <row r="839" spans="19:19" x14ac:dyDescent="0.4">
      <c r="S839" s="6"/>
    </row>
    <row r="840" spans="19:19" x14ac:dyDescent="0.4">
      <c r="S840" s="6"/>
    </row>
    <row r="841" spans="19:19" x14ac:dyDescent="0.4">
      <c r="S841" s="6"/>
    </row>
    <row r="842" spans="19:19" x14ac:dyDescent="0.4">
      <c r="S842" s="6"/>
    </row>
    <row r="843" spans="19:19" x14ac:dyDescent="0.4">
      <c r="S843" s="6"/>
    </row>
    <row r="844" spans="19:19" x14ac:dyDescent="0.4">
      <c r="S844" s="6"/>
    </row>
    <row r="845" spans="19:19" x14ac:dyDescent="0.4">
      <c r="S845" s="6"/>
    </row>
    <row r="846" spans="19:19" x14ac:dyDescent="0.4">
      <c r="S846" s="6"/>
    </row>
    <row r="847" spans="19:19" x14ac:dyDescent="0.4">
      <c r="S847" s="6"/>
    </row>
    <row r="848" spans="19:19" x14ac:dyDescent="0.4">
      <c r="S848" s="6"/>
    </row>
    <row r="849" spans="19:19" x14ac:dyDescent="0.4">
      <c r="S849" s="6"/>
    </row>
    <row r="850" spans="19:19" x14ac:dyDescent="0.4">
      <c r="S850" s="6"/>
    </row>
    <row r="851" spans="19:19" x14ac:dyDescent="0.4">
      <c r="S851" s="6"/>
    </row>
    <row r="852" spans="19:19" x14ac:dyDescent="0.4">
      <c r="S852" s="6"/>
    </row>
    <row r="853" spans="19:19" x14ac:dyDescent="0.4">
      <c r="S853" s="6"/>
    </row>
    <row r="854" spans="19:19" x14ac:dyDescent="0.4">
      <c r="S854" s="6"/>
    </row>
    <row r="855" spans="19:19" x14ac:dyDescent="0.4">
      <c r="S855" s="6"/>
    </row>
    <row r="856" spans="19:19" x14ac:dyDescent="0.4">
      <c r="S856" s="6"/>
    </row>
    <row r="857" spans="19:19" x14ac:dyDescent="0.4">
      <c r="S857" s="6"/>
    </row>
    <row r="858" spans="19:19" x14ac:dyDescent="0.4">
      <c r="S858" s="6"/>
    </row>
    <row r="859" spans="19:19" x14ac:dyDescent="0.4">
      <c r="S859" s="6"/>
    </row>
    <row r="860" spans="19:19" x14ac:dyDescent="0.4">
      <c r="S860" s="6"/>
    </row>
    <row r="861" spans="19:19" x14ac:dyDescent="0.4">
      <c r="S861" s="6"/>
    </row>
    <row r="862" spans="19:19" x14ac:dyDescent="0.4">
      <c r="S862" s="6"/>
    </row>
    <row r="863" spans="19:19" x14ac:dyDescent="0.4">
      <c r="S863" s="6"/>
    </row>
    <row r="864" spans="19:19" x14ac:dyDescent="0.4">
      <c r="S864" s="6"/>
    </row>
    <row r="865" spans="19:19" x14ac:dyDescent="0.4">
      <c r="S865" s="6"/>
    </row>
    <row r="866" spans="19:19" x14ac:dyDescent="0.4">
      <c r="S866" s="6"/>
    </row>
    <row r="867" spans="19:19" x14ac:dyDescent="0.4">
      <c r="S867" s="6"/>
    </row>
    <row r="868" spans="19:19" x14ac:dyDescent="0.4">
      <c r="S868" s="6"/>
    </row>
    <row r="869" spans="19:19" x14ac:dyDescent="0.4">
      <c r="S869" s="6"/>
    </row>
    <row r="870" spans="19:19" x14ac:dyDescent="0.4">
      <c r="S870" s="6"/>
    </row>
    <row r="871" spans="19:19" x14ac:dyDescent="0.4">
      <c r="S871" s="6"/>
    </row>
    <row r="872" spans="19:19" x14ac:dyDescent="0.4">
      <c r="S872" s="6"/>
    </row>
    <row r="873" spans="19:19" x14ac:dyDescent="0.4">
      <c r="S873" s="6"/>
    </row>
    <row r="874" spans="19:19" x14ac:dyDescent="0.4">
      <c r="S874" s="6"/>
    </row>
    <row r="875" spans="19:19" x14ac:dyDescent="0.4">
      <c r="S875" s="6"/>
    </row>
    <row r="876" spans="19:19" x14ac:dyDescent="0.4">
      <c r="S876" s="6"/>
    </row>
    <row r="877" spans="19:19" x14ac:dyDescent="0.4">
      <c r="S877" s="6"/>
    </row>
    <row r="878" spans="19:19" x14ac:dyDescent="0.4">
      <c r="S878" s="6"/>
    </row>
    <row r="879" spans="19:19" x14ac:dyDescent="0.4">
      <c r="S879" s="6"/>
    </row>
    <row r="880" spans="19:19" x14ac:dyDescent="0.4">
      <c r="S880" s="6"/>
    </row>
    <row r="881" spans="19:19" x14ac:dyDescent="0.4">
      <c r="S881" s="6"/>
    </row>
    <row r="882" spans="19:19" x14ac:dyDescent="0.4">
      <c r="S882" s="6"/>
    </row>
    <row r="883" spans="19:19" x14ac:dyDescent="0.4">
      <c r="S883" s="6"/>
    </row>
    <row r="884" spans="19:19" x14ac:dyDescent="0.4">
      <c r="S884" s="6"/>
    </row>
    <row r="885" spans="19:19" x14ac:dyDescent="0.4">
      <c r="S885" s="6"/>
    </row>
    <row r="886" spans="19:19" x14ac:dyDescent="0.4">
      <c r="S886" s="6"/>
    </row>
    <row r="887" spans="19:19" x14ac:dyDescent="0.4">
      <c r="S887" s="6"/>
    </row>
    <row r="888" spans="19:19" x14ac:dyDescent="0.4">
      <c r="S888" s="6"/>
    </row>
    <row r="889" spans="19:19" x14ac:dyDescent="0.4">
      <c r="S889" s="6"/>
    </row>
    <row r="890" spans="19:19" x14ac:dyDescent="0.4">
      <c r="S890" s="6"/>
    </row>
    <row r="891" spans="19:19" x14ac:dyDescent="0.4">
      <c r="S891" s="6"/>
    </row>
    <row r="892" spans="19:19" x14ac:dyDescent="0.4">
      <c r="S892" s="6"/>
    </row>
    <row r="893" spans="19:19" x14ac:dyDescent="0.4">
      <c r="S893" s="6"/>
    </row>
    <row r="894" spans="19:19" x14ac:dyDescent="0.4">
      <c r="S894" s="6"/>
    </row>
    <row r="895" spans="19:19" x14ac:dyDescent="0.4">
      <c r="S895" s="6"/>
    </row>
    <row r="896" spans="19:19" x14ac:dyDescent="0.4">
      <c r="S896" s="6"/>
    </row>
    <row r="897" spans="19:19" x14ac:dyDescent="0.4">
      <c r="S897" s="6"/>
    </row>
    <row r="898" spans="19:19" x14ac:dyDescent="0.4">
      <c r="S898" s="6"/>
    </row>
    <row r="899" spans="19:19" x14ac:dyDescent="0.4">
      <c r="S899" s="6"/>
    </row>
    <row r="900" spans="19:19" x14ac:dyDescent="0.4">
      <c r="S900" s="6"/>
    </row>
    <row r="901" spans="19:19" x14ac:dyDescent="0.4">
      <c r="S901" s="6"/>
    </row>
    <row r="902" spans="19:19" x14ac:dyDescent="0.4">
      <c r="S902" s="6"/>
    </row>
    <row r="903" spans="19:19" x14ac:dyDescent="0.4">
      <c r="S903" s="6"/>
    </row>
    <row r="904" spans="19:19" x14ac:dyDescent="0.4">
      <c r="S904" s="6"/>
    </row>
    <row r="905" spans="19:19" x14ac:dyDescent="0.4">
      <c r="S905" s="6"/>
    </row>
    <row r="906" spans="19:19" x14ac:dyDescent="0.4">
      <c r="S906" s="6"/>
    </row>
    <row r="907" spans="19:19" x14ac:dyDescent="0.4">
      <c r="S907" s="6"/>
    </row>
    <row r="908" spans="19:19" x14ac:dyDescent="0.4">
      <c r="S908" s="6"/>
    </row>
    <row r="909" spans="19:19" x14ac:dyDescent="0.4">
      <c r="S909" s="6"/>
    </row>
    <row r="910" spans="19:19" x14ac:dyDescent="0.4">
      <c r="S910" s="6"/>
    </row>
    <row r="911" spans="19:19" x14ac:dyDescent="0.4">
      <c r="S911" s="6"/>
    </row>
    <row r="912" spans="19:19" x14ac:dyDescent="0.4">
      <c r="S912" s="6"/>
    </row>
    <row r="913" spans="19:19" x14ac:dyDescent="0.4">
      <c r="S913" s="6"/>
    </row>
    <row r="914" spans="19:19" x14ac:dyDescent="0.4">
      <c r="S914" s="6"/>
    </row>
    <row r="915" spans="19:19" x14ac:dyDescent="0.4">
      <c r="S915" s="6"/>
    </row>
    <row r="916" spans="19:19" x14ac:dyDescent="0.4">
      <c r="S916" s="6"/>
    </row>
    <row r="917" spans="19:19" x14ac:dyDescent="0.4">
      <c r="S917" s="6"/>
    </row>
    <row r="918" spans="19:19" x14ac:dyDescent="0.4">
      <c r="S918" s="6"/>
    </row>
    <row r="919" spans="19:19" x14ac:dyDescent="0.4">
      <c r="S919" s="6"/>
    </row>
    <row r="920" spans="19:19" x14ac:dyDescent="0.4">
      <c r="S920" s="6"/>
    </row>
    <row r="921" spans="19:19" x14ac:dyDescent="0.4">
      <c r="S921" s="6"/>
    </row>
    <row r="922" spans="19:19" x14ac:dyDescent="0.4">
      <c r="S922" s="6"/>
    </row>
    <row r="923" spans="19:19" x14ac:dyDescent="0.4">
      <c r="S923" s="6"/>
    </row>
    <row r="924" spans="19:19" x14ac:dyDescent="0.4">
      <c r="S924" s="6"/>
    </row>
    <row r="925" spans="19:19" x14ac:dyDescent="0.4">
      <c r="S925" s="6"/>
    </row>
    <row r="926" spans="19:19" x14ac:dyDescent="0.4">
      <c r="S926" s="6"/>
    </row>
    <row r="927" spans="19:19" x14ac:dyDescent="0.4">
      <c r="S927" s="6"/>
    </row>
    <row r="928" spans="19:19" x14ac:dyDescent="0.4">
      <c r="S928" s="6"/>
    </row>
    <row r="929" spans="19:19" x14ac:dyDescent="0.4">
      <c r="S929" s="6"/>
    </row>
    <row r="930" spans="19:19" x14ac:dyDescent="0.4">
      <c r="S930" s="6"/>
    </row>
    <row r="931" spans="19:19" x14ac:dyDescent="0.4">
      <c r="S931" s="6"/>
    </row>
    <row r="932" spans="19:19" x14ac:dyDescent="0.4">
      <c r="S932" s="6"/>
    </row>
    <row r="933" spans="19:19" x14ac:dyDescent="0.4">
      <c r="S933" s="6"/>
    </row>
    <row r="934" spans="19:19" x14ac:dyDescent="0.4">
      <c r="S934" s="6"/>
    </row>
    <row r="935" spans="19:19" x14ac:dyDescent="0.4">
      <c r="S935" s="6"/>
    </row>
    <row r="936" spans="19:19" x14ac:dyDescent="0.4">
      <c r="S936" s="6"/>
    </row>
    <row r="937" spans="19:19" x14ac:dyDescent="0.4">
      <c r="S937" s="6"/>
    </row>
    <row r="938" spans="19:19" x14ac:dyDescent="0.4">
      <c r="S938" s="6"/>
    </row>
    <row r="939" spans="19:19" x14ac:dyDescent="0.4">
      <c r="S939" s="6"/>
    </row>
    <row r="940" spans="19:19" x14ac:dyDescent="0.4">
      <c r="S940" s="6"/>
    </row>
    <row r="941" spans="19:19" x14ac:dyDescent="0.4">
      <c r="S941" s="6"/>
    </row>
    <row r="942" spans="19:19" x14ac:dyDescent="0.4">
      <c r="S942" s="6"/>
    </row>
    <row r="943" spans="19:19" x14ac:dyDescent="0.4">
      <c r="S943" s="6"/>
    </row>
    <row r="944" spans="19:19" x14ac:dyDescent="0.4">
      <c r="S944" s="6"/>
    </row>
    <row r="945" spans="19:19" x14ac:dyDescent="0.4">
      <c r="S945" s="6"/>
    </row>
    <row r="946" spans="19:19" x14ac:dyDescent="0.4">
      <c r="S946" s="6"/>
    </row>
    <row r="947" spans="19:19" x14ac:dyDescent="0.4">
      <c r="S947" s="6"/>
    </row>
    <row r="948" spans="19:19" x14ac:dyDescent="0.4">
      <c r="S948" s="6"/>
    </row>
    <row r="949" spans="19:19" x14ac:dyDescent="0.4">
      <c r="S949" s="6"/>
    </row>
    <row r="950" spans="19:19" x14ac:dyDescent="0.4">
      <c r="S950" s="6"/>
    </row>
    <row r="951" spans="19:19" x14ac:dyDescent="0.4">
      <c r="S951" s="6"/>
    </row>
    <row r="952" spans="19:19" x14ac:dyDescent="0.4">
      <c r="S952" s="6"/>
    </row>
    <row r="953" spans="19:19" x14ac:dyDescent="0.4">
      <c r="S953" s="6"/>
    </row>
    <row r="954" spans="19:19" x14ac:dyDescent="0.4">
      <c r="S954" s="6"/>
    </row>
    <row r="955" spans="19:19" x14ac:dyDescent="0.4">
      <c r="S955" s="6"/>
    </row>
    <row r="956" spans="19:19" x14ac:dyDescent="0.4">
      <c r="S956" s="6"/>
    </row>
    <row r="957" spans="19:19" x14ac:dyDescent="0.4">
      <c r="S957" s="6"/>
    </row>
    <row r="958" spans="19:19" x14ac:dyDescent="0.4">
      <c r="S958" s="6"/>
    </row>
    <row r="959" spans="19:19" x14ac:dyDescent="0.4">
      <c r="S959" s="6"/>
    </row>
    <row r="960" spans="19:19" x14ac:dyDescent="0.4">
      <c r="S960" s="6"/>
    </row>
    <row r="961" spans="19:19" x14ac:dyDescent="0.4">
      <c r="S961" s="6"/>
    </row>
    <row r="962" spans="19:19" x14ac:dyDescent="0.4">
      <c r="S962" s="6"/>
    </row>
    <row r="963" spans="19:19" x14ac:dyDescent="0.4">
      <c r="S963" s="6"/>
    </row>
    <row r="964" spans="19:19" x14ac:dyDescent="0.4">
      <c r="S964" s="6"/>
    </row>
    <row r="965" spans="19:19" x14ac:dyDescent="0.4">
      <c r="S965" s="6"/>
    </row>
    <row r="966" spans="19:19" x14ac:dyDescent="0.4">
      <c r="S966" s="6"/>
    </row>
    <row r="967" spans="19:19" x14ac:dyDescent="0.4">
      <c r="S967" s="6"/>
    </row>
    <row r="968" spans="19:19" x14ac:dyDescent="0.4">
      <c r="S968" s="6"/>
    </row>
    <row r="969" spans="19:19" x14ac:dyDescent="0.4">
      <c r="S969" s="6"/>
    </row>
    <row r="970" spans="19:19" x14ac:dyDescent="0.4">
      <c r="S970" s="6"/>
    </row>
    <row r="971" spans="19:19" x14ac:dyDescent="0.4">
      <c r="S971" s="6"/>
    </row>
    <row r="972" spans="19:19" x14ac:dyDescent="0.4">
      <c r="S972" s="6"/>
    </row>
    <row r="973" spans="19:19" x14ac:dyDescent="0.4">
      <c r="S973" s="6"/>
    </row>
    <row r="974" spans="19:19" x14ac:dyDescent="0.4">
      <c r="S974" s="6"/>
    </row>
    <row r="975" spans="19:19" x14ac:dyDescent="0.4">
      <c r="S975" s="6"/>
    </row>
    <row r="976" spans="19:19" x14ac:dyDescent="0.4">
      <c r="S976" s="6"/>
    </row>
    <row r="977" spans="19:19" x14ac:dyDescent="0.4">
      <c r="S977" s="6"/>
    </row>
    <row r="978" spans="19:19" x14ac:dyDescent="0.4">
      <c r="S978" s="6"/>
    </row>
    <row r="979" spans="19:19" x14ac:dyDescent="0.4">
      <c r="S979" s="6"/>
    </row>
    <row r="980" spans="19:19" x14ac:dyDescent="0.4">
      <c r="S980" s="6"/>
    </row>
    <row r="981" spans="19:19" x14ac:dyDescent="0.4">
      <c r="S981" s="6"/>
    </row>
    <row r="982" spans="19:19" x14ac:dyDescent="0.4">
      <c r="S982" s="6"/>
    </row>
    <row r="983" spans="19:19" x14ac:dyDescent="0.4">
      <c r="S983" s="6"/>
    </row>
    <row r="984" spans="19:19" x14ac:dyDescent="0.4">
      <c r="S984" s="6"/>
    </row>
    <row r="985" spans="19:19" x14ac:dyDescent="0.4">
      <c r="S985" s="6"/>
    </row>
    <row r="986" spans="19:19" x14ac:dyDescent="0.4">
      <c r="S986" s="6"/>
    </row>
    <row r="987" spans="19:19" x14ac:dyDescent="0.4">
      <c r="S987" s="6"/>
    </row>
    <row r="988" spans="19:19" x14ac:dyDescent="0.4">
      <c r="S988" s="6"/>
    </row>
    <row r="989" spans="19:19" x14ac:dyDescent="0.4">
      <c r="S989" s="6"/>
    </row>
    <row r="990" spans="19:19" x14ac:dyDescent="0.4">
      <c r="S990" s="6"/>
    </row>
    <row r="991" spans="19:19" x14ac:dyDescent="0.4">
      <c r="S991" s="6"/>
    </row>
    <row r="992" spans="19:19" x14ac:dyDescent="0.4">
      <c r="S992" s="6"/>
    </row>
    <row r="993" spans="19:19" x14ac:dyDescent="0.4">
      <c r="S993" s="6"/>
    </row>
    <row r="994" spans="19:19" x14ac:dyDescent="0.4">
      <c r="S994" s="6"/>
    </row>
    <row r="995" spans="19:19" x14ac:dyDescent="0.4">
      <c r="S995" s="6"/>
    </row>
    <row r="996" spans="19:19" x14ac:dyDescent="0.4">
      <c r="S996" s="6"/>
    </row>
    <row r="997" spans="19:19" x14ac:dyDescent="0.4">
      <c r="S997" s="6"/>
    </row>
    <row r="998" spans="19:19" x14ac:dyDescent="0.4">
      <c r="S998" s="6"/>
    </row>
    <row r="999" spans="19:19" x14ac:dyDescent="0.4">
      <c r="S999" s="6"/>
    </row>
    <row r="1000" spans="19:19" x14ac:dyDescent="0.4">
      <c r="S1000" s="6"/>
    </row>
    <row r="1001" spans="19:19" x14ac:dyDescent="0.4">
      <c r="S1001" s="6"/>
    </row>
    <row r="1002" spans="19:19" x14ac:dyDescent="0.4">
      <c r="S1002" s="6"/>
    </row>
    <row r="1003" spans="19:19" x14ac:dyDescent="0.4">
      <c r="S1003" s="6"/>
    </row>
    <row r="1004" spans="19:19" x14ac:dyDescent="0.4">
      <c r="S1004" s="6"/>
    </row>
    <row r="1005" spans="19:19" x14ac:dyDescent="0.4">
      <c r="S1005" s="6"/>
    </row>
    <row r="1006" spans="19:19" x14ac:dyDescent="0.4">
      <c r="S1006" s="6"/>
    </row>
    <row r="1007" spans="19:19" x14ac:dyDescent="0.4">
      <c r="S1007" s="6"/>
    </row>
    <row r="1008" spans="19:19" x14ac:dyDescent="0.4">
      <c r="S1008" s="6"/>
    </row>
    <row r="1009" spans="19:19" x14ac:dyDescent="0.4">
      <c r="S1009" s="6"/>
    </row>
    <row r="1010" spans="19:19" x14ac:dyDescent="0.4">
      <c r="S1010" s="6"/>
    </row>
    <row r="1011" spans="19:19" x14ac:dyDescent="0.4">
      <c r="S1011" s="6"/>
    </row>
    <row r="1012" spans="19:19" x14ac:dyDescent="0.4">
      <c r="S1012" s="6"/>
    </row>
    <row r="1013" spans="19:19" x14ac:dyDescent="0.4">
      <c r="S1013" s="6"/>
    </row>
    <row r="1014" spans="19:19" x14ac:dyDescent="0.4">
      <c r="S1014" s="6"/>
    </row>
    <row r="1015" spans="19:19" x14ac:dyDescent="0.4">
      <c r="S1015" s="6"/>
    </row>
    <row r="1016" spans="19:19" x14ac:dyDescent="0.4">
      <c r="S1016" s="6"/>
    </row>
    <row r="1017" spans="19:19" x14ac:dyDescent="0.4">
      <c r="S1017" s="6"/>
    </row>
    <row r="1018" spans="19:19" x14ac:dyDescent="0.4">
      <c r="S1018" s="6"/>
    </row>
    <row r="1019" spans="19:19" x14ac:dyDescent="0.4">
      <c r="S1019" s="6"/>
    </row>
    <row r="1020" spans="19:19" x14ac:dyDescent="0.4">
      <c r="S1020" s="6"/>
    </row>
    <row r="1021" spans="19:19" x14ac:dyDescent="0.4">
      <c r="S1021" s="6"/>
    </row>
    <row r="1022" spans="19:19" x14ac:dyDescent="0.4">
      <c r="S1022" s="6"/>
    </row>
    <row r="1023" spans="19:19" x14ac:dyDescent="0.4">
      <c r="S1023" s="6"/>
    </row>
    <row r="1024" spans="19:19" x14ac:dyDescent="0.4">
      <c r="S1024" s="6"/>
    </row>
    <row r="1025" spans="19:19" x14ac:dyDescent="0.4">
      <c r="S1025" s="6"/>
    </row>
    <row r="1026" spans="19:19" x14ac:dyDescent="0.4">
      <c r="S1026" s="6"/>
    </row>
    <row r="1027" spans="19:19" x14ac:dyDescent="0.4">
      <c r="S1027" s="6"/>
    </row>
    <row r="1028" spans="19:19" x14ac:dyDescent="0.4">
      <c r="S1028" s="6"/>
    </row>
    <row r="1029" spans="19:19" x14ac:dyDescent="0.4">
      <c r="S1029" s="6"/>
    </row>
    <row r="1030" spans="19:19" x14ac:dyDescent="0.4">
      <c r="S1030" s="6"/>
    </row>
    <row r="1031" spans="19:19" x14ac:dyDescent="0.4">
      <c r="S1031" s="6"/>
    </row>
    <row r="1032" spans="19:19" x14ac:dyDescent="0.4">
      <c r="S1032" s="6"/>
    </row>
    <row r="1033" spans="19:19" x14ac:dyDescent="0.4">
      <c r="S1033" s="6"/>
    </row>
    <row r="1034" spans="19:19" x14ac:dyDescent="0.4">
      <c r="S1034" s="6"/>
    </row>
    <row r="1035" spans="19:19" x14ac:dyDescent="0.4">
      <c r="S1035" s="6"/>
    </row>
    <row r="1036" spans="19:19" x14ac:dyDescent="0.4">
      <c r="S1036" s="6"/>
    </row>
    <row r="1037" spans="19:19" x14ac:dyDescent="0.4">
      <c r="S1037" s="6"/>
    </row>
    <row r="1038" spans="19:19" x14ac:dyDescent="0.4">
      <c r="S1038" s="6"/>
    </row>
    <row r="1039" spans="19:19" x14ac:dyDescent="0.4">
      <c r="S1039" s="6"/>
    </row>
    <row r="1040" spans="19:19" x14ac:dyDescent="0.4">
      <c r="S1040" s="6"/>
    </row>
    <row r="1041" spans="19:19" x14ac:dyDescent="0.4">
      <c r="S1041" s="6"/>
    </row>
    <row r="1042" spans="19:19" x14ac:dyDescent="0.4">
      <c r="S1042" s="6"/>
    </row>
    <row r="1043" spans="19:19" x14ac:dyDescent="0.4">
      <c r="S1043" s="6"/>
    </row>
    <row r="1044" spans="19:19" x14ac:dyDescent="0.4">
      <c r="S1044" s="6"/>
    </row>
    <row r="1045" spans="19:19" x14ac:dyDescent="0.4">
      <c r="S1045" s="6"/>
    </row>
  </sheetData>
  <phoneticPr fontId="1" type="noConversion"/>
  <conditionalFormatting sqref="A5:S1046">
    <cfRule type="expression" dxfId="18" priority="8">
      <formula>MOD(ROW(),2)=1</formula>
    </cfRule>
  </conditionalFormatting>
  <conditionalFormatting sqref="I5:J104">
    <cfRule type="notContainsBlanks" dxfId="17" priority="5">
      <formula>LEN(TRIM(I5))&gt;0</formula>
    </cfRule>
  </conditionalFormatting>
  <conditionalFormatting sqref="D5:E104">
    <cfRule type="containsText" dxfId="16" priority="6" operator="containsText" text="extra">
      <formula>NOT(ISERROR(SEARCH("extra",D5)))</formula>
    </cfRule>
    <cfRule type="containsText" dxfId="15" priority="7" operator="containsText" text="jmc">
      <formula>NOT(ISERROR(SEARCH("jmc",D5)))</formula>
    </cfRule>
  </conditionalFormatting>
  <conditionalFormatting sqref="S5:S10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:O104">
    <cfRule type="notContainsBlanks" dxfId="14" priority="3">
      <formula>LEN(TRIM(M5))&gt;0</formula>
    </cfRule>
  </conditionalFormatting>
  <conditionalFormatting sqref="B1:C1048576">
    <cfRule type="containsText" dxfId="13" priority="1" operator="containsText" text="spe">
      <formula>NOT(ISERROR(SEARCH("spe",B1)))</formula>
    </cfRule>
    <cfRule type="containsText" dxfId="12" priority="2" operator="containsText" text="gen">
      <formula>NOT(ISERROR(SEARCH("gen",B1)))</formula>
    </cfRule>
  </conditionalFormatting>
  <pageMargins left="0.7" right="0.7" top="0.75" bottom="0.75" header="0.3" footer="0.3"/>
  <pageSetup paperSize="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0_DB</vt:lpstr>
      <vt:lpstr>0_DB(M)</vt:lpstr>
      <vt:lpstr>1_situation.DB(M)</vt:lpstr>
      <vt:lpstr>2_voca.DB(M)</vt:lpstr>
      <vt:lpstr>3_무따기.DB(M) (2)</vt:lpstr>
      <vt:lpstr>4_BrBad.DB(M)</vt:lpstr>
      <vt:lpstr>5_Comm.DB(M)</vt:lpstr>
      <vt:lpstr>4_DB(M)</vt:lpstr>
    </vt:vector>
  </TitlesOfParts>
  <Company>EV_HUFS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JMC</dc:creator>
  <cp:lastModifiedBy>Jay</cp:lastModifiedBy>
  <dcterms:created xsi:type="dcterms:W3CDTF">2015-12-12T14:04:33Z</dcterms:created>
  <dcterms:modified xsi:type="dcterms:W3CDTF">2016-11-30T14:38:33Z</dcterms:modified>
</cp:coreProperties>
</file>